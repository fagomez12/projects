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om\Downloads\"/>
    </mc:Choice>
  </mc:AlternateContent>
  <xr:revisionPtr revIDLastSave="0" documentId="13_ncr:1_{A4656A12-E7A0-4F68-A76E-D2804D295EB8}" xr6:coauthVersionLast="47" xr6:coauthVersionMax="47" xr10:uidLastSave="{00000000-0000-0000-0000-000000000000}"/>
  <bookViews>
    <workbookView xWindow="-120" yWindow="-120" windowWidth="29040" windowHeight="15720" activeTab="1" xr2:uid="{EF1BA3EB-6950-48FB-9696-F996537A0C0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6" i="2"/>
  <c r="L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6" i="2"/>
  <c r="F1" i="2"/>
  <c r="F2" i="2" s="1"/>
  <c r="D6" i="2"/>
  <c r="C6" i="2"/>
  <c r="E6" i="2" s="1"/>
  <c r="B7" i="2"/>
  <c r="C7" i="2" s="1"/>
  <c r="E7" i="2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I86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8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C4" i="1"/>
  <c r="D4" i="1" s="1"/>
  <c r="G4" i="1" s="1"/>
  <c r="B5" i="1"/>
  <c r="B6" i="1" s="1"/>
  <c r="B7" i="1" s="1"/>
  <c r="K6" i="2" l="1"/>
  <c r="L7" i="2"/>
  <c r="D7" i="2"/>
  <c r="F6" i="2"/>
  <c r="G6" i="2" s="1"/>
  <c r="B8" i="2"/>
  <c r="C6" i="1"/>
  <c r="C5" i="1"/>
  <c r="B8" i="1"/>
  <c r="C7" i="1"/>
  <c r="M6" i="2" l="1"/>
  <c r="F7" i="2"/>
  <c r="G7" i="2" s="1"/>
  <c r="K7" i="2"/>
  <c r="C8" i="2"/>
  <c r="E8" i="2" s="1"/>
  <c r="L8" i="2" s="1"/>
  <c r="D8" i="2"/>
  <c r="B9" i="2"/>
  <c r="F4" i="1"/>
  <c r="H4" i="1"/>
  <c r="D5" i="1"/>
  <c r="G5" i="1" s="1"/>
  <c r="H5" i="1"/>
  <c r="H6" i="1"/>
  <c r="D6" i="1"/>
  <c r="H7" i="1"/>
  <c r="D7" i="1"/>
  <c r="B9" i="1"/>
  <c r="C8" i="1"/>
  <c r="M7" i="2" l="1"/>
  <c r="F8" i="2"/>
  <c r="K8" i="2"/>
  <c r="C9" i="2"/>
  <c r="E9" i="2" s="1"/>
  <c r="L9" i="2" s="1"/>
  <c r="D9" i="2"/>
  <c r="B10" i="2"/>
  <c r="F6" i="1"/>
  <c r="G6" i="1"/>
  <c r="F7" i="1"/>
  <c r="G7" i="1"/>
  <c r="D8" i="1"/>
  <c r="G8" i="1" s="1"/>
  <c r="H8" i="1"/>
  <c r="F5" i="1"/>
  <c r="B10" i="1"/>
  <c r="C9" i="1"/>
  <c r="M8" i="2" l="1"/>
  <c r="F9" i="2"/>
  <c r="K9" i="2"/>
  <c r="C10" i="2"/>
  <c r="E10" i="2" s="1"/>
  <c r="L10" i="2" s="1"/>
  <c r="D10" i="2"/>
  <c r="G8" i="2"/>
  <c r="B11" i="2"/>
  <c r="D9" i="1"/>
  <c r="G9" i="1" s="1"/>
  <c r="H9" i="1"/>
  <c r="F8" i="1"/>
  <c r="B11" i="1"/>
  <c r="C10" i="1"/>
  <c r="M9" i="2" l="1"/>
  <c r="F10" i="2"/>
  <c r="K10" i="2"/>
  <c r="C11" i="2"/>
  <c r="E11" i="2" s="1"/>
  <c r="L11" i="2" s="1"/>
  <c r="D11" i="2"/>
  <c r="B12" i="2"/>
  <c r="G9" i="2"/>
  <c r="F9" i="1"/>
  <c r="H10" i="1"/>
  <c r="D10" i="1"/>
  <c r="B12" i="1"/>
  <c r="C11" i="1"/>
  <c r="M10" i="2" l="1"/>
  <c r="F11" i="2"/>
  <c r="K11" i="2"/>
  <c r="C12" i="2"/>
  <c r="E12" i="2" s="1"/>
  <c r="L12" i="2" s="1"/>
  <c r="D12" i="2"/>
  <c r="G10" i="2"/>
  <c r="B13" i="2"/>
  <c r="F10" i="1"/>
  <c r="G10" i="1"/>
  <c r="H11" i="1"/>
  <c r="D11" i="1"/>
  <c r="B13" i="1"/>
  <c r="C12" i="1"/>
  <c r="M11" i="2" l="1"/>
  <c r="F12" i="2"/>
  <c r="K12" i="2"/>
  <c r="C13" i="2"/>
  <c r="E13" i="2" s="1"/>
  <c r="L13" i="2" s="1"/>
  <c r="D13" i="2"/>
  <c r="B14" i="2"/>
  <c r="G11" i="2"/>
  <c r="F11" i="1"/>
  <c r="G11" i="1"/>
  <c r="H12" i="1"/>
  <c r="D12" i="1"/>
  <c r="B14" i="1"/>
  <c r="C13" i="1"/>
  <c r="M12" i="2" l="1"/>
  <c r="F13" i="2"/>
  <c r="K13" i="2"/>
  <c r="C14" i="2"/>
  <c r="E14" i="2" s="1"/>
  <c r="L14" i="2" s="1"/>
  <c r="D14" i="2"/>
  <c r="G12" i="2"/>
  <c r="B15" i="2"/>
  <c r="F12" i="1"/>
  <c r="G12" i="1"/>
  <c r="D13" i="1"/>
  <c r="H13" i="1"/>
  <c r="B15" i="1"/>
  <c r="C14" i="1"/>
  <c r="M13" i="2" l="1"/>
  <c r="F14" i="2"/>
  <c r="K14" i="2"/>
  <c r="C15" i="2"/>
  <c r="E15" i="2" s="1"/>
  <c r="L15" i="2" s="1"/>
  <c r="D15" i="2"/>
  <c r="B16" i="2"/>
  <c r="G13" i="2"/>
  <c r="F13" i="1"/>
  <c r="G13" i="1"/>
  <c r="H14" i="1"/>
  <c r="D14" i="1"/>
  <c r="B16" i="1"/>
  <c r="C15" i="1"/>
  <c r="M14" i="2" l="1"/>
  <c r="F15" i="2"/>
  <c r="K15" i="2"/>
  <c r="C16" i="2"/>
  <c r="E16" i="2" s="1"/>
  <c r="L16" i="2" s="1"/>
  <c r="D16" i="2"/>
  <c r="B17" i="2"/>
  <c r="G14" i="2"/>
  <c r="F14" i="1"/>
  <c r="G14" i="1"/>
  <c r="H15" i="1"/>
  <c r="D15" i="1"/>
  <c r="B17" i="1"/>
  <c r="C16" i="1"/>
  <c r="M15" i="2" l="1"/>
  <c r="F16" i="2"/>
  <c r="K16" i="2"/>
  <c r="C17" i="2"/>
  <c r="E17" i="2" s="1"/>
  <c r="L17" i="2" s="1"/>
  <c r="D17" i="2"/>
  <c r="G15" i="2"/>
  <c r="B18" i="2"/>
  <c r="F15" i="1"/>
  <c r="G15" i="1"/>
  <c r="H16" i="1"/>
  <c r="D16" i="1"/>
  <c r="B18" i="1"/>
  <c r="C17" i="1"/>
  <c r="M16" i="2" l="1"/>
  <c r="F17" i="2"/>
  <c r="K17" i="2"/>
  <c r="C18" i="2"/>
  <c r="E18" i="2" s="1"/>
  <c r="L18" i="2" s="1"/>
  <c r="D18" i="2"/>
  <c r="B19" i="2"/>
  <c r="G16" i="2"/>
  <c r="F16" i="1"/>
  <c r="G16" i="1"/>
  <c r="D17" i="1"/>
  <c r="G17" i="1" s="1"/>
  <c r="H17" i="1"/>
  <c r="B19" i="1"/>
  <c r="C18" i="1"/>
  <c r="M17" i="2" l="1"/>
  <c r="F18" i="2"/>
  <c r="K18" i="2"/>
  <c r="C19" i="2"/>
  <c r="E19" i="2" s="1"/>
  <c r="L19" i="2" s="1"/>
  <c r="D19" i="2"/>
  <c r="G17" i="2"/>
  <c r="B20" i="2"/>
  <c r="H18" i="1"/>
  <c r="D18" i="1"/>
  <c r="F17" i="1"/>
  <c r="B20" i="1"/>
  <c r="C19" i="1"/>
  <c r="M18" i="2" l="1"/>
  <c r="F19" i="2"/>
  <c r="K19" i="2"/>
  <c r="C20" i="2"/>
  <c r="E20" i="2" s="1"/>
  <c r="L20" i="2" s="1"/>
  <c r="D20" i="2"/>
  <c r="G18" i="2"/>
  <c r="B21" i="2"/>
  <c r="F18" i="1"/>
  <c r="G18" i="1"/>
  <c r="D19" i="1"/>
  <c r="G19" i="1" s="1"/>
  <c r="H19" i="1"/>
  <c r="B21" i="1"/>
  <c r="C20" i="1"/>
  <c r="M19" i="2" l="1"/>
  <c r="F20" i="2"/>
  <c r="K20" i="2"/>
  <c r="C21" i="2"/>
  <c r="E21" i="2" s="1"/>
  <c r="L21" i="2" s="1"/>
  <c r="D21" i="2"/>
  <c r="G19" i="2"/>
  <c r="B22" i="2"/>
  <c r="H20" i="1"/>
  <c r="D20" i="1"/>
  <c r="F19" i="1"/>
  <c r="B22" i="1"/>
  <c r="C21" i="1"/>
  <c r="M20" i="2" l="1"/>
  <c r="F21" i="2"/>
  <c r="K21" i="2"/>
  <c r="C22" i="2"/>
  <c r="E22" i="2" s="1"/>
  <c r="L22" i="2" s="1"/>
  <c r="D22" i="2"/>
  <c r="G20" i="2"/>
  <c r="B23" i="2"/>
  <c r="F20" i="1"/>
  <c r="G20" i="1"/>
  <c r="H21" i="1"/>
  <c r="D21" i="1"/>
  <c r="B23" i="1"/>
  <c r="C22" i="1"/>
  <c r="M21" i="2" l="1"/>
  <c r="F22" i="2"/>
  <c r="K22" i="2"/>
  <c r="C23" i="2"/>
  <c r="E23" i="2" s="1"/>
  <c r="L23" i="2" s="1"/>
  <c r="D23" i="2"/>
  <c r="G21" i="2"/>
  <c r="B24" i="2"/>
  <c r="F21" i="1"/>
  <c r="G21" i="1"/>
  <c r="H22" i="1"/>
  <c r="D22" i="1"/>
  <c r="B24" i="1"/>
  <c r="C23" i="1"/>
  <c r="M22" i="2" l="1"/>
  <c r="F23" i="2"/>
  <c r="K23" i="2"/>
  <c r="C24" i="2"/>
  <c r="E24" i="2" s="1"/>
  <c r="L24" i="2" s="1"/>
  <c r="D24" i="2"/>
  <c r="G22" i="2"/>
  <c r="B25" i="2"/>
  <c r="F22" i="1"/>
  <c r="G22" i="1"/>
  <c r="H23" i="1"/>
  <c r="D23" i="1"/>
  <c r="G23" i="1" s="1"/>
  <c r="B25" i="1"/>
  <c r="C24" i="1"/>
  <c r="M23" i="2" l="1"/>
  <c r="F24" i="2"/>
  <c r="K24" i="2"/>
  <c r="C25" i="2"/>
  <c r="E25" i="2" s="1"/>
  <c r="L25" i="2" s="1"/>
  <c r="D25" i="2"/>
  <c r="B26" i="2"/>
  <c r="G23" i="2"/>
  <c r="F23" i="1"/>
  <c r="H24" i="1"/>
  <c r="D24" i="1"/>
  <c r="B26" i="1"/>
  <c r="C25" i="1"/>
  <c r="M24" i="2" l="1"/>
  <c r="F25" i="2"/>
  <c r="K25" i="2"/>
  <c r="C26" i="2"/>
  <c r="E26" i="2" s="1"/>
  <c r="L26" i="2" s="1"/>
  <c r="D26" i="2"/>
  <c r="G24" i="2"/>
  <c r="B27" i="2"/>
  <c r="F24" i="1"/>
  <c r="G24" i="1"/>
  <c r="H25" i="1"/>
  <c r="D25" i="1"/>
  <c r="B27" i="1"/>
  <c r="C26" i="1"/>
  <c r="M25" i="2" l="1"/>
  <c r="F26" i="2"/>
  <c r="K26" i="2"/>
  <c r="C27" i="2"/>
  <c r="E27" i="2" s="1"/>
  <c r="L27" i="2" s="1"/>
  <c r="D27" i="2"/>
  <c r="G25" i="2"/>
  <c r="B28" i="2"/>
  <c r="F25" i="1"/>
  <c r="G25" i="1"/>
  <c r="H26" i="1"/>
  <c r="D26" i="1"/>
  <c r="B28" i="1"/>
  <c r="C27" i="1"/>
  <c r="M26" i="2" l="1"/>
  <c r="F27" i="2"/>
  <c r="K27" i="2"/>
  <c r="C28" i="2"/>
  <c r="E28" i="2" s="1"/>
  <c r="L28" i="2" s="1"/>
  <c r="D28" i="2"/>
  <c r="G26" i="2"/>
  <c r="B29" i="2"/>
  <c r="F26" i="1"/>
  <c r="G26" i="1"/>
  <c r="H27" i="1"/>
  <c r="D27" i="1"/>
  <c r="G27" i="1" s="1"/>
  <c r="B29" i="1"/>
  <c r="C28" i="1"/>
  <c r="M27" i="2" l="1"/>
  <c r="F28" i="2"/>
  <c r="K28" i="2"/>
  <c r="C29" i="2"/>
  <c r="E29" i="2" s="1"/>
  <c r="L29" i="2" s="1"/>
  <c r="D29" i="2"/>
  <c r="G27" i="2"/>
  <c r="B30" i="2"/>
  <c r="F27" i="1"/>
  <c r="H28" i="1"/>
  <c r="D28" i="1"/>
  <c r="B30" i="1"/>
  <c r="C29" i="1"/>
  <c r="M28" i="2" l="1"/>
  <c r="F29" i="2"/>
  <c r="K29" i="2"/>
  <c r="C30" i="2"/>
  <c r="E30" i="2" s="1"/>
  <c r="L30" i="2" s="1"/>
  <c r="D30" i="2"/>
  <c r="G28" i="2"/>
  <c r="B31" i="2"/>
  <c r="F28" i="1"/>
  <c r="G28" i="1"/>
  <c r="D29" i="1"/>
  <c r="H29" i="1"/>
  <c r="B31" i="1"/>
  <c r="C30" i="1"/>
  <c r="M29" i="2" l="1"/>
  <c r="F30" i="2"/>
  <c r="K30" i="2"/>
  <c r="C31" i="2"/>
  <c r="E31" i="2" s="1"/>
  <c r="L31" i="2" s="1"/>
  <c r="D31" i="2"/>
  <c r="G29" i="2"/>
  <c r="B32" i="2"/>
  <c r="F29" i="1"/>
  <c r="G29" i="1"/>
  <c r="D30" i="1"/>
  <c r="G30" i="1" s="1"/>
  <c r="H30" i="1"/>
  <c r="B32" i="1"/>
  <c r="C31" i="1"/>
  <c r="M30" i="2" l="1"/>
  <c r="F31" i="2"/>
  <c r="K31" i="2"/>
  <c r="C32" i="2"/>
  <c r="E32" i="2" s="1"/>
  <c r="L32" i="2" s="1"/>
  <c r="D32" i="2"/>
  <c r="G30" i="2"/>
  <c r="B33" i="2"/>
  <c r="H31" i="1"/>
  <c r="D31" i="1"/>
  <c r="F30" i="1"/>
  <c r="B33" i="1"/>
  <c r="C32" i="1"/>
  <c r="M31" i="2" l="1"/>
  <c r="F32" i="2"/>
  <c r="K32" i="2"/>
  <c r="C33" i="2"/>
  <c r="E33" i="2" s="1"/>
  <c r="L33" i="2" s="1"/>
  <c r="D33" i="2"/>
  <c r="G31" i="2"/>
  <c r="B34" i="2"/>
  <c r="F31" i="1"/>
  <c r="G31" i="1"/>
  <c r="H32" i="1"/>
  <c r="D32" i="1"/>
  <c r="B34" i="1"/>
  <c r="C33" i="1"/>
  <c r="M32" i="2" l="1"/>
  <c r="F33" i="2"/>
  <c r="K33" i="2"/>
  <c r="C34" i="2"/>
  <c r="E34" i="2" s="1"/>
  <c r="L34" i="2" s="1"/>
  <c r="D34" i="2"/>
  <c r="B35" i="2"/>
  <c r="G32" i="2"/>
  <c r="F32" i="1"/>
  <c r="G32" i="1"/>
  <c r="H33" i="1"/>
  <c r="D33" i="1"/>
  <c r="G33" i="1" s="1"/>
  <c r="B35" i="1"/>
  <c r="C34" i="1"/>
  <c r="M33" i="2" l="1"/>
  <c r="F34" i="2"/>
  <c r="K34" i="2"/>
  <c r="C35" i="2"/>
  <c r="E35" i="2" s="1"/>
  <c r="L35" i="2" s="1"/>
  <c r="D35" i="2"/>
  <c r="G33" i="2"/>
  <c r="B36" i="2"/>
  <c r="D34" i="1"/>
  <c r="H34" i="1"/>
  <c r="F33" i="1"/>
  <c r="B36" i="1"/>
  <c r="C35" i="1"/>
  <c r="M34" i="2" l="1"/>
  <c r="F35" i="2"/>
  <c r="K35" i="2"/>
  <c r="C36" i="2"/>
  <c r="E36" i="2" s="1"/>
  <c r="L36" i="2" s="1"/>
  <c r="D36" i="2"/>
  <c r="G34" i="2"/>
  <c r="B37" i="2"/>
  <c r="F34" i="1"/>
  <c r="G34" i="1"/>
  <c r="H35" i="1"/>
  <c r="D35" i="1"/>
  <c r="B37" i="1"/>
  <c r="C36" i="1"/>
  <c r="M35" i="2" l="1"/>
  <c r="F36" i="2"/>
  <c r="K36" i="2"/>
  <c r="C37" i="2"/>
  <c r="E37" i="2" s="1"/>
  <c r="L37" i="2" s="1"/>
  <c r="D37" i="2"/>
  <c r="G35" i="2"/>
  <c r="B38" i="2"/>
  <c r="F35" i="1"/>
  <c r="G35" i="1"/>
  <c r="H36" i="1"/>
  <c r="D36" i="1"/>
  <c r="B38" i="1"/>
  <c r="C37" i="1"/>
  <c r="M36" i="2" l="1"/>
  <c r="F37" i="2"/>
  <c r="K37" i="2"/>
  <c r="C38" i="2"/>
  <c r="E38" i="2" s="1"/>
  <c r="L38" i="2" s="1"/>
  <c r="D38" i="2"/>
  <c r="G36" i="2"/>
  <c r="B39" i="2"/>
  <c r="F36" i="1"/>
  <c r="G36" i="1"/>
  <c r="D37" i="1"/>
  <c r="G37" i="1" s="1"/>
  <c r="H37" i="1"/>
  <c r="B39" i="1"/>
  <c r="C38" i="1"/>
  <c r="M37" i="2" l="1"/>
  <c r="F38" i="2"/>
  <c r="K38" i="2"/>
  <c r="C39" i="2"/>
  <c r="E39" i="2" s="1"/>
  <c r="L39" i="2" s="1"/>
  <c r="D39" i="2"/>
  <c r="G37" i="2"/>
  <c r="B40" i="2"/>
  <c r="H38" i="1"/>
  <c r="D38" i="1"/>
  <c r="F37" i="1"/>
  <c r="B40" i="1"/>
  <c r="C39" i="1"/>
  <c r="M38" i="2" l="1"/>
  <c r="F39" i="2"/>
  <c r="K39" i="2"/>
  <c r="C40" i="2"/>
  <c r="E40" i="2" s="1"/>
  <c r="L40" i="2" s="1"/>
  <c r="D40" i="2"/>
  <c r="G38" i="2"/>
  <c r="B41" i="2"/>
  <c r="F38" i="1"/>
  <c r="G38" i="1"/>
  <c r="H39" i="1"/>
  <c r="D39" i="1"/>
  <c r="B41" i="1"/>
  <c r="C40" i="1"/>
  <c r="M39" i="2" l="1"/>
  <c r="F40" i="2"/>
  <c r="K40" i="2"/>
  <c r="C41" i="2"/>
  <c r="E41" i="2" s="1"/>
  <c r="L41" i="2" s="1"/>
  <c r="D41" i="2"/>
  <c r="G39" i="2"/>
  <c r="B42" i="2"/>
  <c r="F39" i="1"/>
  <c r="G39" i="1"/>
  <c r="D40" i="1"/>
  <c r="G40" i="1" s="1"/>
  <c r="H40" i="1"/>
  <c r="B42" i="1"/>
  <c r="C41" i="1"/>
  <c r="M40" i="2" l="1"/>
  <c r="F41" i="2"/>
  <c r="K41" i="2"/>
  <c r="C42" i="2"/>
  <c r="E42" i="2" s="1"/>
  <c r="L42" i="2" s="1"/>
  <c r="D42" i="2"/>
  <c r="G40" i="2"/>
  <c r="B43" i="2"/>
  <c r="F40" i="1"/>
  <c r="D41" i="1"/>
  <c r="G41" i="1" s="1"/>
  <c r="H41" i="1"/>
  <c r="B43" i="1"/>
  <c r="C42" i="1"/>
  <c r="M41" i="2" l="1"/>
  <c r="F42" i="2"/>
  <c r="K42" i="2"/>
  <c r="C43" i="2"/>
  <c r="E43" i="2" s="1"/>
  <c r="L43" i="2" s="1"/>
  <c r="D43" i="2"/>
  <c r="B44" i="2"/>
  <c r="G41" i="2"/>
  <c r="H42" i="1"/>
  <c r="D42" i="1"/>
  <c r="G42" i="1" s="1"/>
  <c r="F41" i="1"/>
  <c r="B44" i="1"/>
  <c r="C43" i="1"/>
  <c r="M42" i="2" l="1"/>
  <c r="F43" i="2"/>
  <c r="K43" i="2"/>
  <c r="C44" i="2"/>
  <c r="E44" i="2" s="1"/>
  <c r="L44" i="2" s="1"/>
  <c r="D44" i="2"/>
  <c r="G42" i="2"/>
  <c r="B45" i="2"/>
  <c r="H43" i="1"/>
  <c r="D43" i="1"/>
  <c r="F42" i="1"/>
  <c r="B45" i="1"/>
  <c r="C44" i="1"/>
  <c r="M43" i="2" l="1"/>
  <c r="F44" i="2"/>
  <c r="G44" i="2" s="1"/>
  <c r="K44" i="2"/>
  <c r="C45" i="2"/>
  <c r="E45" i="2" s="1"/>
  <c r="L45" i="2" s="1"/>
  <c r="D45" i="2"/>
  <c r="G43" i="2"/>
  <c r="B46" i="2"/>
  <c r="F43" i="1"/>
  <c r="G43" i="1"/>
  <c r="H44" i="1"/>
  <c r="D44" i="1"/>
  <c r="B46" i="1"/>
  <c r="C45" i="1"/>
  <c r="M44" i="2" l="1"/>
  <c r="F45" i="2"/>
  <c r="K45" i="2"/>
  <c r="C46" i="2"/>
  <c r="E46" i="2" s="1"/>
  <c r="L46" i="2" s="1"/>
  <c r="D46" i="2"/>
  <c r="B47" i="2"/>
  <c r="F44" i="1"/>
  <c r="G44" i="1"/>
  <c r="D45" i="1"/>
  <c r="G45" i="1" s="1"/>
  <c r="H45" i="1"/>
  <c r="B47" i="1"/>
  <c r="C46" i="1"/>
  <c r="M45" i="2" l="1"/>
  <c r="F46" i="2"/>
  <c r="K46" i="2"/>
  <c r="C47" i="2"/>
  <c r="E47" i="2" s="1"/>
  <c r="L47" i="2" s="1"/>
  <c r="D47" i="2"/>
  <c r="G45" i="2"/>
  <c r="B48" i="2"/>
  <c r="F45" i="1"/>
  <c r="H46" i="1"/>
  <c r="D46" i="1"/>
  <c r="G46" i="1" s="1"/>
  <c r="B48" i="1"/>
  <c r="C47" i="1"/>
  <c r="M46" i="2" l="1"/>
  <c r="F47" i="2"/>
  <c r="K47" i="2"/>
  <c r="C48" i="2"/>
  <c r="E48" i="2" s="1"/>
  <c r="L48" i="2" s="1"/>
  <c r="D48" i="2"/>
  <c r="G46" i="2"/>
  <c r="B49" i="2"/>
  <c r="H47" i="1"/>
  <c r="D47" i="1"/>
  <c r="F46" i="1"/>
  <c r="B49" i="1"/>
  <c r="C48" i="1"/>
  <c r="M47" i="2" l="1"/>
  <c r="F48" i="2"/>
  <c r="K48" i="2"/>
  <c r="C49" i="2"/>
  <c r="E49" i="2" s="1"/>
  <c r="L49" i="2" s="1"/>
  <c r="D49" i="2"/>
  <c r="G47" i="2"/>
  <c r="B50" i="2"/>
  <c r="F47" i="1"/>
  <c r="G47" i="1"/>
  <c r="H48" i="1"/>
  <c r="D48" i="1"/>
  <c r="G48" i="1" s="1"/>
  <c r="B50" i="1"/>
  <c r="C49" i="1"/>
  <c r="M48" i="2" l="1"/>
  <c r="F49" i="2"/>
  <c r="K49" i="2"/>
  <c r="C50" i="2"/>
  <c r="E50" i="2" s="1"/>
  <c r="L50" i="2" s="1"/>
  <c r="D50" i="2"/>
  <c r="G48" i="2"/>
  <c r="B51" i="2"/>
  <c r="D49" i="1"/>
  <c r="G49" i="1" s="1"/>
  <c r="H49" i="1"/>
  <c r="F48" i="1"/>
  <c r="B51" i="1"/>
  <c r="C50" i="1"/>
  <c r="M49" i="2" l="1"/>
  <c r="F50" i="2"/>
  <c r="K50" i="2"/>
  <c r="C51" i="2"/>
  <c r="E51" i="2" s="1"/>
  <c r="L51" i="2" s="1"/>
  <c r="D51" i="2"/>
  <c r="G49" i="2"/>
  <c r="B52" i="2"/>
  <c r="F49" i="1"/>
  <c r="H50" i="1"/>
  <c r="D50" i="1"/>
  <c r="B52" i="1"/>
  <c r="C51" i="1"/>
  <c r="M50" i="2" l="1"/>
  <c r="F51" i="2"/>
  <c r="K51" i="2"/>
  <c r="C52" i="2"/>
  <c r="E52" i="2" s="1"/>
  <c r="L52" i="2" s="1"/>
  <c r="D52" i="2"/>
  <c r="B53" i="2"/>
  <c r="G50" i="2"/>
  <c r="F50" i="1"/>
  <c r="G50" i="1"/>
  <c r="D51" i="1"/>
  <c r="H51" i="1"/>
  <c r="B53" i="1"/>
  <c r="C52" i="1"/>
  <c r="M51" i="2" l="1"/>
  <c r="F52" i="2"/>
  <c r="K52" i="2"/>
  <c r="C53" i="2"/>
  <c r="E53" i="2" s="1"/>
  <c r="L53" i="2" s="1"/>
  <c r="D53" i="2"/>
  <c r="G51" i="2"/>
  <c r="B54" i="2"/>
  <c r="F51" i="1"/>
  <c r="G51" i="1"/>
  <c r="H52" i="1"/>
  <c r="D52" i="1"/>
  <c r="B54" i="1"/>
  <c r="C53" i="1"/>
  <c r="M52" i="2" l="1"/>
  <c r="F53" i="2"/>
  <c r="K53" i="2"/>
  <c r="C54" i="2"/>
  <c r="E54" i="2" s="1"/>
  <c r="L54" i="2" s="1"/>
  <c r="D54" i="2"/>
  <c r="G52" i="2"/>
  <c r="B55" i="2"/>
  <c r="F52" i="1"/>
  <c r="G52" i="1"/>
  <c r="H53" i="1"/>
  <c r="D53" i="1"/>
  <c r="B55" i="1"/>
  <c r="C54" i="1"/>
  <c r="M53" i="2" l="1"/>
  <c r="F54" i="2"/>
  <c r="K54" i="2"/>
  <c r="C55" i="2"/>
  <c r="E55" i="2" s="1"/>
  <c r="L55" i="2" s="1"/>
  <c r="D55" i="2"/>
  <c r="B56" i="2"/>
  <c r="G53" i="2"/>
  <c r="F53" i="1"/>
  <c r="G53" i="1"/>
  <c r="H54" i="1"/>
  <c r="D54" i="1"/>
  <c r="B56" i="1"/>
  <c r="C55" i="1"/>
  <c r="M54" i="2" l="1"/>
  <c r="F55" i="2"/>
  <c r="K55" i="2"/>
  <c r="C56" i="2"/>
  <c r="E56" i="2" s="1"/>
  <c r="L56" i="2" s="1"/>
  <c r="D56" i="2"/>
  <c r="B57" i="2"/>
  <c r="G54" i="2"/>
  <c r="F54" i="1"/>
  <c r="G54" i="1"/>
  <c r="H55" i="1"/>
  <c r="D55" i="1"/>
  <c r="B57" i="1"/>
  <c r="C56" i="1"/>
  <c r="M55" i="2" l="1"/>
  <c r="F56" i="2"/>
  <c r="K56" i="2"/>
  <c r="C57" i="2"/>
  <c r="E57" i="2" s="1"/>
  <c r="L57" i="2" s="1"/>
  <c r="D57" i="2"/>
  <c r="G55" i="2"/>
  <c r="B58" i="2"/>
  <c r="F55" i="1"/>
  <c r="G55" i="1"/>
  <c r="H56" i="1"/>
  <c r="D56" i="1"/>
  <c r="G56" i="1" s="1"/>
  <c r="B58" i="1"/>
  <c r="C57" i="1"/>
  <c r="M56" i="2" l="1"/>
  <c r="F57" i="2"/>
  <c r="K57" i="2"/>
  <c r="C58" i="2"/>
  <c r="E58" i="2" s="1"/>
  <c r="L58" i="2" s="1"/>
  <c r="D58" i="2"/>
  <c r="G56" i="2"/>
  <c r="B59" i="2"/>
  <c r="H57" i="1"/>
  <c r="D57" i="1"/>
  <c r="F56" i="1"/>
  <c r="B59" i="1"/>
  <c r="C58" i="1"/>
  <c r="M57" i="2" l="1"/>
  <c r="F58" i="2"/>
  <c r="K58" i="2"/>
  <c r="C59" i="2"/>
  <c r="E59" i="2" s="1"/>
  <c r="L59" i="2" s="1"/>
  <c r="D59" i="2"/>
  <c r="G57" i="2"/>
  <c r="B60" i="2"/>
  <c r="F57" i="1"/>
  <c r="G57" i="1"/>
  <c r="H58" i="1"/>
  <c r="D58" i="1"/>
  <c r="B60" i="1"/>
  <c r="C59" i="1"/>
  <c r="M58" i="2" l="1"/>
  <c r="F59" i="2"/>
  <c r="K59" i="2"/>
  <c r="C60" i="2"/>
  <c r="E60" i="2" s="1"/>
  <c r="L60" i="2" s="1"/>
  <c r="D60" i="2"/>
  <c r="G58" i="2"/>
  <c r="B61" i="2"/>
  <c r="F58" i="1"/>
  <c r="G58" i="1"/>
  <c r="H59" i="1"/>
  <c r="D59" i="1"/>
  <c r="B61" i="1"/>
  <c r="C60" i="1"/>
  <c r="M59" i="2" l="1"/>
  <c r="F60" i="2"/>
  <c r="K60" i="2"/>
  <c r="C61" i="2"/>
  <c r="E61" i="2" s="1"/>
  <c r="L61" i="2" s="1"/>
  <c r="D61" i="2"/>
  <c r="B62" i="2"/>
  <c r="G59" i="2"/>
  <c r="F59" i="1"/>
  <c r="G59" i="1"/>
  <c r="H60" i="1"/>
  <c r="D60" i="1"/>
  <c r="B62" i="1"/>
  <c r="C61" i="1"/>
  <c r="M60" i="2" l="1"/>
  <c r="F61" i="2"/>
  <c r="K61" i="2"/>
  <c r="C62" i="2"/>
  <c r="E62" i="2" s="1"/>
  <c r="L62" i="2" s="1"/>
  <c r="D62" i="2"/>
  <c r="G60" i="2"/>
  <c r="B63" i="2"/>
  <c r="F60" i="1"/>
  <c r="G60" i="1"/>
  <c r="D61" i="1"/>
  <c r="G61" i="1" s="1"/>
  <c r="H61" i="1"/>
  <c r="B63" i="1"/>
  <c r="C62" i="1"/>
  <c r="M61" i="2" l="1"/>
  <c r="F62" i="2"/>
  <c r="K62" i="2"/>
  <c r="C63" i="2"/>
  <c r="E63" i="2" s="1"/>
  <c r="L63" i="2" s="1"/>
  <c r="D63" i="2"/>
  <c r="G61" i="2"/>
  <c r="B64" i="2"/>
  <c r="D62" i="1"/>
  <c r="G62" i="1" s="1"/>
  <c r="H62" i="1"/>
  <c r="F61" i="1"/>
  <c r="B64" i="1"/>
  <c r="C63" i="1"/>
  <c r="M62" i="2" l="1"/>
  <c r="F63" i="2"/>
  <c r="K63" i="2"/>
  <c r="C64" i="2"/>
  <c r="E64" i="2" s="1"/>
  <c r="L64" i="2" s="1"/>
  <c r="D64" i="2"/>
  <c r="G62" i="2"/>
  <c r="B65" i="2"/>
  <c r="F62" i="1"/>
  <c r="H63" i="1"/>
  <c r="D63" i="1"/>
  <c r="B65" i="1"/>
  <c r="C64" i="1"/>
  <c r="M63" i="2" l="1"/>
  <c r="F64" i="2"/>
  <c r="K64" i="2"/>
  <c r="C65" i="2"/>
  <c r="E65" i="2" s="1"/>
  <c r="L65" i="2" s="1"/>
  <c r="D65" i="2"/>
  <c r="G63" i="2"/>
  <c r="B66" i="2"/>
  <c r="F63" i="1"/>
  <c r="G63" i="1"/>
  <c r="H64" i="1"/>
  <c r="D64" i="1"/>
  <c r="B66" i="1"/>
  <c r="C65" i="1"/>
  <c r="M64" i="2" l="1"/>
  <c r="F65" i="2"/>
  <c r="K65" i="2"/>
  <c r="C66" i="2"/>
  <c r="E66" i="2" s="1"/>
  <c r="L66" i="2" s="1"/>
  <c r="D66" i="2"/>
  <c r="G64" i="2"/>
  <c r="B67" i="2"/>
  <c r="F64" i="1"/>
  <c r="G64" i="1"/>
  <c r="H65" i="1"/>
  <c r="D65" i="1"/>
  <c r="G65" i="1" s="1"/>
  <c r="B67" i="1"/>
  <c r="C66" i="1"/>
  <c r="M65" i="2" l="1"/>
  <c r="F66" i="2"/>
  <c r="K66" i="2"/>
  <c r="C67" i="2"/>
  <c r="E67" i="2" s="1"/>
  <c r="L67" i="2" s="1"/>
  <c r="D67" i="2"/>
  <c r="G65" i="2"/>
  <c r="B68" i="2"/>
  <c r="H66" i="1"/>
  <c r="D66" i="1"/>
  <c r="G66" i="1" s="1"/>
  <c r="F65" i="1"/>
  <c r="B68" i="1"/>
  <c r="C67" i="1"/>
  <c r="M66" i="2" l="1"/>
  <c r="F67" i="2"/>
  <c r="K67" i="2"/>
  <c r="C68" i="2"/>
  <c r="E68" i="2" s="1"/>
  <c r="L68" i="2" s="1"/>
  <c r="D68" i="2"/>
  <c r="G66" i="2"/>
  <c r="B69" i="2"/>
  <c r="F66" i="1"/>
  <c r="H67" i="1"/>
  <c r="D67" i="1"/>
  <c r="B69" i="1"/>
  <c r="C68" i="1"/>
  <c r="M67" i="2" l="1"/>
  <c r="F68" i="2"/>
  <c r="K68" i="2"/>
  <c r="C69" i="2"/>
  <c r="E69" i="2" s="1"/>
  <c r="L69" i="2" s="1"/>
  <c r="D69" i="2"/>
  <c r="G67" i="2"/>
  <c r="B70" i="2"/>
  <c r="F67" i="1"/>
  <c r="G67" i="1"/>
  <c r="H68" i="1"/>
  <c r="D68" i="1"/>
  <c r="B70" i="1"/>
  <c r="C69" i="1"/>
  <c r="M68" i="2" l="1"/>
  <c r="F69" i="2"/>
  <c r="K69" i="2"/>
  <c r="C70" i="2"/>
  <c r="E70" i="2" s="1"/>
  <c r="L70" i="2" s="1"/>
  <c r="D70" i="2"/>
  <c r="G68" i="2"/>
  <c r="G69" i="2"/>
  <c r="B71" i="2"/>
  <c r="F68" i="1"/>
  <c r="G68" i="1"/>
  <c r="D69" i="1"/>
  <c r="G69" i="1" s="1"/>
  <c r="H69" i="1"/>
  <c r="B71" i="1"/>
  <c r="C70" i="1"/>
  <c r="M69" i="2" l="1"/>
  <c r="F70" i="2"/>
  <c r="K70" i="2"/>
  <c r="C71" i="2"/>
  <c r="E71" i="2" s="1"/>
  <c r="L71" i="2" s="1"/>
  <c r="D71" i="2"/>
  <c r="B72" i="2"/>
  <c r="H70" i="1"/>
  <c r="D70" i="1"/>
  <c r="F69" i="1"/>
  <c r="B72" i="1"/>
  <c r="C71" i="1"/>
  <c r="M70" i="2" l="1"/>
  <c r="F71" i="2"/>
  <c r="K71" i="2"/>
  <c r="C72" i="2"/>
  <c r="E72" i="2" s="1"/>
  <c r="L72" i="2" s="1"/>
  <c r="D72" i="2"/>
  <c r="G70" i="2"/>
  <c r="B73" i="2"/>
  <c r="F70" i="1"/>
  <c r="G70" i="1"/>
  <c r="H71" i="1"/>
  <c r="D71" i="1"/>
  <c r="B73" i="1"/>
  <c r="C72" i="1"/>
  <c r="M71" i="2" l="1"/>
  <c r="F72" i="2"/>
  <c r="K72" i="2"/>
  <c r="C73" i="2"/>
  <c r="E73" i="2" s="1"/>
  <c r="L73" i="2" s="1"/>
  <c r="D73" i="2"/>
  <c r="G71" i="2"/>
  <c r="B74" i="2"/>
  <c r="F71" i="1"/>
  <c r="G71" i="1"/>
  <c r="D72" i="1"/>
  <c r="G72" i="1" s="1"/>
  <c r="H72" i="1"/>
  <c r="B74" i="1"/>
  <c r="C73" i="1"/>
  <c r="M72" i="2" l="1"/>
  <c r="F73" i="2"/>
  <c r="K73" i="2"/>
  <c r="C74" i="2"/>
  <c r="E74" i="2" s="1"/>
  <c r="L74" i="2" s="1"/>
  <c r="D74" i="2"/>
  <c r="B75" i="2"/>
  <c r="G72" i="2"/>
  <c r="D73" i="1"/>
  <c r="G73" i="1" s="1"/>
  <c r="H73" i="1"/>
  <c r="F72" i="1"/>
  <c r="B75" i="1"/>
  <c r="C74" i="1"/>
  <c r="M73" i="2" l="1"/>
  <c r="F74" i="2"/>
  <c r="K74" i="2"/>
  <c r="C75" i="2"/>
  <c r="E75" i="2" s="1"/>
  <c r="L75" i="2" s="1"/>
  <c r="D75" i="2"/>
  <c r="G73" i="2"/>
  <c r="B76" i="2"/>
  <c r="H74" i="1"/>
  <c r="D74" i="1"/>
  <c r="F73" i="1"/>
  <c r="B76" i="1"/>
  <c r="C75" i="1"/>
  <c r="M74" i="2" l="1"/>
  <c r="F75" i="2"/>
  <c r="K75" i="2"/>
  <c r="C76" i="2"/>
  <c r="E76" i="2" s="1"/>
  <c r="L76" i="2" s="1"/>
  <c r="D76" i="2"/>
  <c r="G74" i="2"/>
  <c r="B77" i="2"/>
  <c r="F74" i="1"/>
  <c r="G74" i="1"/>
  <c r="H75" i="1"/>
  <c r="D75" i="1"/>
  <c r="B77" i="1"/>
  <c r="C76" i="1"/>
  <c r="M75" i="2" l="1"/>
  <c r="F76" i="2"/>
  <c r="K76" i="2"/>
  <c r="C77" i="2"/>
  <c r="E77" i="2" s="1"/>
  <c r="L77" i="2" s="1"/>
  <c r="D77" i="2"/>
  <c r="G75" i="2"/>
  <c r="B78" i="2"/>
  <c r="F75" i="1"/>
  <c r="G75" i="1"/>
  <c r="H76" i="1"/>
  <c r="D76" i="1"/>
  <c r="B78" i="1"/>
  <c r="C77" i="1"/>
  <c r="M76" i="2" l="1"/>
  <c r="F77" i="2"/>
  <c r="K77" i="2"/>
  <c r="C78" i="2"/>
  <c r="E78" i="2" s="1"/>
  <c r="L78" i="2" s="1"/>
  <c r="D78" i="2"/>
  <c r="G76" i="2"/>
  <c r="B79" i="2"/>
  <c r="F76" i="1"/>
  <c r="G76" i="1"/>
  <c r="D77" i="1"/>
  <c r="H77" i="1"/>
  <c r="B79" i="1"/>
  <c r="C78" i="1"/>
  <c r="M77" i="2" l="1"/>
  <c r="F78" i="2"/>
  <c r="K78" i="2"/>
  <c r="C79" i="2"/>
  <c r="E79" i="2" s="1"/>
  <c r="L79" i="2" s="1"/>
  <c r="D79" i="2"/>
  <c r="G77" i="2"/>
  <c r="B80" i="2"/>
  <c r="F77" i="1"/>
  <c r="G77" i="1"/>
  <c r="H78" i="1"/>
  <c r="D78" i="1"/>
  <c r="B80" i="1"/>
  <c r="C79" i="1"/>
  <c r="M78" i="2" l="1"/>
  <c r="F79" i="2"/>
  <c r="K79" i="2"/>
  <c r="C80" i="2"/>
  <c r="E80" i="2" s="1"/>
  <c r="L80" i="2" s="1"/>
  <c r="D80" i="2"/>
  <c r="B81" i="2"/>
  <c r="G78" i="2"/>
  <c r="F78" i="1"/>
  <c r="G78" i="1"/>
  <c r="H79" i="1"/>
  <c r="D79" i="1"/>
  <c r="B81" i="1"/>
  <c r="C80" i="1"/>
  <c r="M79" i="2" l="1"/>
  <c r="F80" i="2"/>
  <c r="K80" i="2"/>
  <c r="C81" i="2"/>
  <c r="E81" i="2" s="1"/>
  <c r="L81" i="2" s="1"/>
  <c r="D81" i="2"/>
  <c r="G79" i="2"/>
  <c r="B82" i="2"/>
  <c r="F79" i="1"/>
  <c r="G79" i="1"/>
  <c r="H80" i="1"/>
  <c r="D80" i="1"/>
  <c r="G80" i="1" s="1"/>
  <c r="B82" i="1"/>
  <c r="C81" i="1"/>
  <c r="M80" i="2" l="1"/>
  <c r="F81" i="2"/>
  <c r="K81" i="2"/>
  <c r="C82" i="2"/>
  <c r="E82" i="2" s="1"/>
  <c r="L82" i="2" s="1"/>
  <c r="D82" i="2"/>
  <c r="G80" i="2"/>
  <c r="B83" i="2"/>
  <c r="D81" i="1"/>
  <c r="G81" i="1" s="1"/>
  <c r="H81" i="1"/>
  <c r="F80" i="1"/>
  <c r="B83" i="1"/>
  <c r="C82" i="1"/>
  <c r="M81" i="2" l="1"/>
  <c r="F82" i="2"/>
  <c r="K82" i="2"/>
  <c r="C83" i="2"/>
  <c r="E83" i="2" s="1"/>
  <c r="L83" i="2" s="1"/>
  <c r="D83" i="2"/>
  <c r="G81" i="2"/>
  <c r="B84" i="2"/>
  <c r="H82" i="1"/>
  <c r="D82" i="1"/>
  <c r="F81" i="1"/>
  <c r="B84" i="1"/>
  <c r="C83" i="1"/>
  <c r="M82" i="2" l="1"/>
  <c r="F83" i="2"/>
  <c r="K83" i="2"/>
  <c r="C84" i="2"/>
  <c r="E84" i="2" s="1"/>
  <c r="L84" i="2" s="1"/>
  <c r="D84" i="2"/>
  <c r="G82" i="2"/>
  <c r="B85" i="2"/>
  <c r="F82" i="1"/>
  <c r="G82" i="1"/>
  <c r="D83" i="1"/>
  <c r="G83" i="1" s="1"/>
  <c r="H83" i="1"/>
  <c r="B85" i="1"/>
  <c r="C84" i="1"/>
  <c r="M83" i="2" l="1"/>
  <c r="F84" i="2"/>
  <c r="G84" i="2" s="1"/>
  <c r="K84" i="2"/>
  <c r="C85" i="2"/>
  <c r="E85" i="2" s="1"/>
  <c r="L85" i="2" s="1"/>
  <c r="D85" i="2"/>
  <c r="G83" i="2"/>
  <c r="B86" i="2"/>
  <c r="H84" i="1"/>
  <c r="D84" i="1"/>
  <c r="F83" i="1"/>
  <c r="B86" i="1"/>
  <c r="C85" i="1"/>
  <c r="O6" i="2" l="1"/>
  <c r="M84" i="2"/>
  <c r="F85" i="2"/>
  <c r="K85" i="2"/>
  <c r="C86" i="2"/>
  <c r="E86" i="2" s="1"/>
  <c r="L86" i="2" s="1"/>
  <c r="D86" i="2"/>
  <c r="B87" i="2"/>
  <c r="G85" i="2"/>
  <c r="F84" i="1"/>
  <c r="G84" i="1"/>
  <c r="I84" i="1" s="1"/>
  <c r="J84" i="1"/>
  <c r="H85" i="1"/>
  <c r="D85" i="1"/>
  <c r="B87" i="1"/>
  <c r="C86" i="1"/>
  <c r="O7" i="2" l="1"/>
  <c r="M85" i="2"/>
  <c r="F86" i="2"/>
  <c r="K86" i="2"/>
  <c r="C87" i="2"/>
  <c r="E87" i="2" s="1"/>
  <c r="L87" i="2" s="1"/>
  <c r="D87" i="2"/>
  <c r="B88" i="2"/>
  <c r="K84" i="1"/>
  <c r="M84" i="1" s="1"/>
  <c r="F85" i="1"/>
  <c r="G85" i="1"/>
  <c r="I85" i="1" s="1"/>
  <c r="J85" i="1"/>
  <c r="H86" i="1"/>
  <c r="D86" i="1"/>
  <c r="B88" i="1"/>
  <c r="C87" i="1"/>
  <c r="O8" i="2" l="1"/>
  <c r="P6" i="2"/>
  <c r="M86" i="2"/>
  <c r="F87" i="2"/>
  <c r="K87" i="2"/>
  <c r="C88" i="2"/>
  <c r="E88" i="2" s="1"/>
  <c r="L88" i="2" s="1"/>
  <c r="D88" i="2"/>
  <c r="G86" i="2"/>
  <c r="B89" i="2"/>
  <c r="N84" i="1"/>
  <c r="K85" i="1"/>
  <c r="N85" i="1" s="1"/>
  <c r="F86" i="1"/>
  <c r="G86" i="1"/>
  <c r="J86" i="1"/>
  <c r="H87" i="1"/>
  <c r="D87" i="1"/>
  <c r="B89" i="1"/>
  <c r="C88" i="1"/>
  <c r="O9" i="2" l="1"/>
  <c r="P7" i="2"/>
  <c r="M87" i="2"/>
  <c r="F88" i="2"/>
  <c r="K88" i="2"/>
  <c r="C89" i="2"/>
  <c r="E89" i="2" s="1"/>
  <c r="L89" i="2" s="1"/>
  <c r="D89" i="2"/>
  <c r="G87" i="2"/>
  <c r="B90" i="2"/>
  <c r="M85" i="1"/>
  <c r="K86" i="1"/>
  <c r="N86" i="1" s="1"/>
  <c r="F87" i="1"/>
  <c r="G87" i="1"/>
  <c r="J87" i="1"/>
  <c r="H88" i="1"/>
  <c r="D88" i="1"/>
  <c r="B90" i="1"/>
  <c r="C89" i="1"/>
  <c r="O10" i="2" l="1"/>
  <c r="P8" i="2"/>
  <c r="M88" i="2"/>
  <c r="F89" i="2"/>
  <c r="K89" i="2"/>
  <c r="C90" i="2"/>
  <c r="E90" i="2" s="1"/>
  <c r="L90" i="2" s="1"/>
  <c r="D90" i="2"/>
  <c r="G88" i="2"/>
  <c r="B91" i="2"/>
  <c r="M86" i="1"/>
  <c r="K87" i="1"/>
  <c r="N87" i="1" s="1"/>
  <c r="J88" i="1"/>
  <c r="F88" i="1"/>
  <c r="G88" i="1"/>
  <c r="H89" i="1"/>
  <c r="D89" i="1"/>
  <c r="B91" i="1"/>
  <c r="C90" i="1"/>
  <c r="O11" i="2" l="1"/>
  <c r="P9" i="2"/>
  <c r="M89" i="2"/>
  <c r="F90" i="2"/>
  <c r="K90" i="2"/>
  <c r="C91" i="2"/>
  <c r="E91" i="2" s="1"/>
  <c r="L91" i="2" s="1"/>
  <c r="D91" i="2"/>
  <c r="G89" i="2"/>
  <c r="B92" i="2"/>
  <c r="K88" i="1"/>
  <c r="N88" i="1" s="1"/>
  <c r="M87" i="1"/>
  <c r="F89" i="1"/>
  <c r="G89" i="1"/>
  <c r="J89" i="1"/>
  <c r="H90" i="1"/>
  <c r="D90" i="1"/>
  <c r="B92" i="1"/>
  <c r="C91" i="1"/>
  <c r="P10" i="2" l="1"/>
  <c r="O12" i="2"/>
  <c r="M90" i="2"/>
  <c r="F91" i="2"/>
  <c r="K91" i="2"/>
  <c r="C92" i="2"/>
  <c r="E92" i="2" s="1"/>
  <c r="L92" i="2" s="1"/>
  <c r="D92" i="2"/>
  <c r="B93" i="2"/>
  <c r="G90" i="2"/>
  <c r="K89" i="1"/>
  <c r="N89" i="1" s="1"/>
  <c r="M88" i="1"/>
  <c r="F90" i="1"/>
  <c r="G90" i="1"/>
  <c r="J90" i="1"/>
  <c r="H91" i="1"/>
  <c r="D91" i="1"/>
  <c r="B93" i="1"/>
  <c r="C92" i="1"/>
  <c r="P11" i="2" l="1"/>
  <c r="O13" i="2"/>
  <c r="M91" i="2"/>
  <c r="F92" i="2"/>
  <c r="K92" i="2"/>
  <c r="C93" i="2"/>
  <c r="E93" i="2" s="1"/>
  <c r="L93" i="2" s="1"/>
  <c r="D93" i="2"/>
  <c r="G91" i="2"/>
  <c r="B94" i="2"/>
  <c r="K90" i="1"/>
  <c r="N90" i="1" s="1"/>
  <c r="M89" i="1"/>
  <c r="F91" i="1"/>
  <c r="G91" i="1"/>
  <c r="J91" i="1"/>
  <c r="H92" i="1"/>
  <c r="D92" i="1"/>
  <c r="B94" i="1"/>
  <c r="C93" i="1"/>
  <c r="P12" i="2" l="1"/>
  <c r="O14" i="2"/>
  <c r="M92" i="2"/>
  <c r="F93" i="2"/>
  <c r="K93" i="2"/>
  <c r="C94" i="2"/>
  <c r="E94" i="2" s="1"/>
  <c r="L94" i="2" s="1"/>
  <c r="D94" i="2"/>
  <c r="G92" i="2"/>
  <c r="B95" i="2"/>
  <c r="K91" i="1"/>
  <c r="N91" i="1" s="1"/>
  <c r="M90" i="1"/>
  <c r="J92" i="1"/>
  <c r="F92" i="1"/>
  <c r="G92" i="1"/>
  <c r="D93" i="1"/>
  <c r="G93" i="1" s="1"/>
  <c r="H93" i="1"/>
  <c r="B95" i="1"/>
  <c r="C94" i="1"/>
  <c r="O15" i="2" l="1"/>
  <c r="P13" i="2"/>
  <c r="M93" i="2"/>
  <c r="F94" i="2"/>
  <c r="K94" i="2"/>
  <c r="C95" i="2"/>
  <c r="E95" i="2" s="1"/>
  <c r="L95" i="2" s="1"/>
  <c r="D95" i="2"/>
  <c r="G93" i="2"/>
  <c r="B96" i="2"/>
  <c r="K92" i="1"/>
  <c r="N92" i="1" s="1"/>
  <c r="M91" i="1"/>
  <c r="J93" i="1"/>
  <c r="D94" i="1"/>
  <c r="G94" i="1" s="1"/>
  <c r="H94" i="1"/>
  <c r="F93" i="1"/>
  <c r="B96" i="1"/>
  <c r="C95" i="1"/>
  <c r="O16" i="2" l="1"/>
  <c r="P14" i="2"/>
  <c r="M94" i="2"/>
  <c r="F95" i="2"/>
  <c r="K95" i="2"/>
  <c r="C96" i="2"/>
  <c r="E96" i="2" s="1"/>
  <c r="L96" i="2" s="1"/>
  <c r="D96" i="2"/>
  <c r="G94" i="2"/>
  <c r="B97" i="2"/>
  <c r="M92" i="1"/>
  <c r="K93" i="1"/>
  <c r="N93" i="1" s="1"/>
  <c r="J94" i="1"/>
  <c r="H95" i="1"/>
  <c r="D95" i="1"/>
  <c r="F94" i="1"/>
  <c r="B97" i="1"/>
  <c r="C96" i="1"/>
  <c r="P15" i="2" l="1"/>
  <c r="O17" i="2"/>
  <c r="M95" i="2"/>
  <c r="F96" i="2"/>
  <c r="K96" i="2"/>
  <c r="C97" i="2"/>
  <c r="E97" i="2" s="1"/>
  <c r="L97" i="2" s="1"/>
  <c r="D97" i="2"/>
  <c r="G95" i="2"/>
  <c r="B98" i="2"/>
  <c r="M93" i="1"/>
  <c r="K94" i="1"/>
  <c r="N94" i="1" s="1"/>
  <c r="F95" i="1"/>
  <c r="G95" i="1"/>
  <c r="J95" i="1"/>
  <c r="H96" i="1"/>
  <c r="D96" i="1"/>
  <c r="B98" i="1"/>
  <c r="C97" i="1"/>
  <c r="P16" i="2" l="1"/>
  <c r="O18" i="2"/>
  <c r="M96" i="2"/>
  <c r="F97" i="2"/>
  <c r="K97" i="2"/>
  <c r="C98" i="2"/>
  <c r="E98" i="2" s="1"/>
  <c r="L98" i="2" s="1"/>
  <c r="D98" i="2"/>
  <c r="G96" i="2"/>
  <c r="B99" i="2"/>
  <c r="M94" i="1"/>
  <c r="K95" i="1"/>
  <c r="N95" i="1" s="1"/>
  <c r="J96" i="1"/>
  <c r="F96" i="1"/>
  <c r="G96" i="1"/>
  <c r="H97" i="1"/>
  <c r="D97" i="1"/>
  <c r="B99" i="1"/>
  <c r="C98" i="1"/>
  <c r="P17" i="2" l="1"/>
  <c r="O19" i="2"/>
  <c r="M97" i="2"/>
  <c r="F98" i="2"/>
  <c r="K98" i="2"/>
  <c r="C99" i="2"/>
  <c r="E99" i="2" s="1"/>
  <c r="L99" i="2" s="1"/>
  <c r="D99" i="2"/>
  <c r="B100" i="2"/>
  <c r="G97" i="2"/>
  <c r="M95" i="1"/>
  <c r="K96" i="1"/>
  <c r="N96" i="1" s="1"/>
  <c r="F97" i="1"/>
  <c r="G97" i="1"/>
  <c r="J97" i="1"/>
  <c r="D98" i="1"/>
  <c r="G98" i="1" s="1"/>
  <c r="H98" i="1"/>
  <c r="B100" i="1"/>
  <c r="C99" i="1"/>
  <c r="P18" i="2" l="1"/>
  <c r="O20" i="2"/>
  <c r="M98" i="2"/>
  <c r="F99" i="2"/>
  <c r="K99" i="2"/>
  <c r="C100" i="2"/>
  <c r="E100" i="2" s="1"/>
  <c r="L100" i="2" s="1"/>
  <c r="D100" i="2"/>
  <c r="G98" i="2"/>
  <c r="B101" i="2"/>
  <c r="M96" i="1"/>
  <c r="K97" i="1"/>
  <c r="N97" i="1" s="1"/>
  <c r="J98" i="1"/>
  <c r="H99" i="1"/>
  <c r="D99" i="1"/>
  <c r="F98" i="1"/>
  <c r="B101" i="1"/>
  <c r="C100" i="1"/>
  <c r="O21" i="2" l="1"/>
  <c r="P19" i="2"/>
  <c r="M99" i="2"/>
  <c r="F100" i="2"/>
  <c r="K100" i="2"/>
  <c r="C101" i="2"/>
  <c r="E101" i="2" s="1"/>
  <c r="L101" i="2" s="1"/>
  <c r="D101" i="2"/>
  <c r="B102" i="2"/>
  <c r="G99" i="2"/>
  <c r="M97" i="1"/>
  <c r="K98" i="1"/>
  <c r="N98" i="1" s="1"/>
  <c r="J99" i="1"/>
  <c r="F99" i="1"/>
  <c r="G99" i="1"/>
  <c r="H100" i="1"/>
  <c r="D100" i="1"/>
  <c r="B102" i="1"/>
  <c r="C101" i="1"/>
  <c r="O22" i="2" l="1"/>
  <c r="P20" i="2"/>
  <c r="M100" i="2"/>
  <c r="F101" i="2"/>
  <c r="K101" i="2"/>
  <c r="C102" i="2"/>
  <c r="E102" i="2" s="1"/>
  <c r="L102" i="2" s="1"/>
  <c r="D102" i="2"/>
  <c r="G100" i="2"/>
  <c r="B103" i="2"/>
  <c r="M98" i="1"/>
  <c r="K99" i="1"/>
  <c r="N99" i="1" s="1"/>
  <c r="F100" i="1"/>
  <c r="G100" i="1"/>
  <c r="J100" i="1"/>
  <c r="D101" i="1"/>
  <c r="G101" i="1" s="1"/>
  <c r="H101" i="1"/>
  <c r="B103" i="1"/>
  <c r="C102" i="1"/>
  <c r="P21" i="2" l="1"/>
  <c r="O23" i="2"/>
  <c r="M101" i="2"/>
  <c r="F102" i="2"/>
  <c r="K102" i="2"/>
  <c r="C103" i="2"/>
  <c r="E103" i="2" s="1"/>
  <c r="L103" i="2" s="1"/>
  <c r="D103" i="2"/>
  <c r="B104" i="2"/>
  <c r="G101" i="2"/>
  <c r="M99" i="1"/>
  <c r="K100" i="1"/>
  <c r="N100" i="1" s="1"/>
  <c r="J101" i="1"/>
  <c r="H102" i="1"/>
  <c r="D102" i="1"/>
  <c r="F101" i="1"/>
  <c r="B104" i="1"/>
  <c r="C103" i="1"/>
  <c r="O24" i="2" l="1"/>
  <c r="P22" i="2"/>
  <c r="M102" i="2"/>
  <c r="F103" i="2"/>
  <c r="K103" i="2"/>
  <c r="C104" i="2"/>
  <c r="E104" i="2" s="1"/>
  <c r="L104" i="2" s="1"/>
  <c r="D104" i="2"/>
  <c r="G102" i="2"/>
  <c r="B105" i="2"/>
  <c r="K101" i="1"/>
  <c r="N101" i="1" s="1"/>
  <c r="M100" i="1"/>
  <c r="F102" i="1"/>
  <c r="G102" i="1"/>
  <c r="J102" i="1"/>
  <c r="H103" i="1"/>
  <c r="D103" i="1"/>
  <c r="B105" i="1"/>
  <c r="C104" i="1"/>
  <c r="O25" i="2" l="1"/>
  <c r="P23" i="2"/>
  <c r="M103" i="2"/>
  <c r="F104" i="2"/>
  <c r="K104" i="2"/>
  <c r="C105" i="2"/>
  <c r="E105" i="2" s="1"/>
  <c r="L105" i="2" s="1"/>
  <c r="D105" i="2"/>
  <c r="G103" i="2"/>
  <c r="B106" i="2"/>
  <c r="K102" i="1"/>
  <c r="N102" i="1" s="1"/>
  <c r="M101" i="1"/>
  <c r="F103" i="1"/>
  <c r="G103" i="1"/>
  <c r="J103" i="1"/>
  <c r="D104" i="1"/>
  <c r="G104" i="1" s="1"/>
  <c r="H104" i="1"/>
  <c r="B106" i="1"/>
  <c r="C105" i="1"/>
  <c r="P24" i="2" l="1"/>
  <c r="O26" i="2"/>
  <c r="M104" i="2"/>
  <c r="F105" i="2"/>
  <c r="K105" i="2"/>
  <c r="C106" i="2"/>
  <c r="E106" i="2" s="1"/>
  <c r="L106" i="2" s="1"/>
  <c r="D106" i="2"/>
  <c r="B107" i="2"/>
  <c r="G104" i="2"/>
  <c r="K103" i="1"/>
  <c r="N103" i="1" s="1"/>
  <c r="M102" i="1"/>
  <c r="J104" i="1"/>
  <c r="D105" i="1"/>
  <c r="G105" i="1" s="1"/>
  <c r="H105" i="1"/>
  <c r="F104" i="1"/>
  <c r="B107" i="1"/>
  <c r="C106" i="1"/>
  <c r="O27" i="2" l="1"/>
  <c r="P25" i="2"/>
  <c r="M105" i="2"/>
  <c r="F106" i="2"/>
  <c r="K106" i="2"/>
  <c r="C107" i="2"/>
  <c r="E107" i="2" s="1"/>
  <c r="L107" i="2" s="1"/>
  <c r="D107" i="2"/>
  <c r="G105" i="2"/>
  <c r="B108" i="2"/>
  <c r="K104" i="1"/>
  <c r="N104" i="1" s="1"/>
  <c r="M103" i="1"/>
  <c r="J105" i="1"/>
  <c r="H106" i="1"/>
  <c r="D106" i="1"/>
  <c r="F105" i="1"/>
  <c r="B108" i="1"/>
  <c r="C107" i="1"/>
  <c r="P26" i="2" l="1"/>
  <c r="O28" i="2"/>
  <c r="M106" i="2"/>
  <c r="F107" i="2"/>
  <c r="K107" i="2"/>
  <c r="C108" i="2"/>
  <c r="E108" i="2" s="1"/>
  <c r="L108" i="2" s="1"/>
  <c r="D108" i="2"/>
  <c r="G106" i="2"/>
  <c r="B109" i="2"/>
  <c r="K105" i="1"/>
  <c r="N105" i="1" s="1"/>
  <c r="M104" i="1"/>
  <c r="F106" i="1"/>
  <c r="G106" i="1"/>
  <c r="J106" i="1"/>
  <c r="H107" i="1"/>
  <c r="D107" i="1"/>
  <c r="B109" i="1"/>
  <c r="C108" i="1"/>
  <c r="O29" i="2" l="1"/>
  <c r="P27" i="2"/>
  <c r="M107" i="2"/>
  <c r="F108" i="2"/>
  <c r="K108" i="2"/>
  <c r="C109" i="2"/>
  <c r="E109" i="2" s="1"/>
  <c r="L109" i="2" s="1"/>
  <c r="D109" i="2"/>
  <c r="G107" i="2"/>
  <c r="B110" i="2"/>
  <c r="M105" i="1"/>
  <c r="K106" i="1"/>
  <c r="N106" i="1" s="1"/>
  <c r="J107" i="1"/>
  <c r="F107" i="1"/>
  <c r="G107" i="1"/>
  <c r="H108" i="1"/>
  <c r="D108" i="1"/>
  <c r="B110" i="1"/>
  <c r="C109" i="1"/>
  <c r="O30" i="2" l="1"/>
  <c r="P28" i="2"/>
  <c r="M108" i="2"/>
  <c r="F109" i="2"/>
  <c r="K109" i="2"/>
  <c r="C110" i="2"/>
  <c r="E110" i="2" s="1"/>
  <c r="L110" i="2" s="1"/>
  <c r="D110" i="2"/>
  <c r="G108" i="2"/>
  <c r="B111" i="2"/>
  <c r="M106" i="1"/>
  <c r="K107" i="1"/>
  <c r="N107" i="1" s="1"/>
  <c r="F108" i="1"/>
  <c r="G108" i="1"/>
  <c r="J108" i="1"/>
  <c r="D109" i="1"/>
  <c r="G109" i="1" s="1"/>
  <c r="H109" i="1"/>
  <c r="B111" i="1"/>
  <c r="C110" i="1"/>
  <c r="P29" i="2" l="1"/>
  <c r="O31" i="2"/>
  <c r="M109" i="2"/>
  <c r="F110" i="2"/>
  <c r="K110" i="2"/>
  <c r="C111" i="2"/>
  <c r="E111" i="2" s="1"/>
  <c r="L111" i="2" s="1"/>
  <c r="D111" i="2"/>
  <c r="G109" i="2"/>
  <c r="B112" i="2"/>
  <c r="K108" i="1"/>
  <c r="N108" i="1" s="1"/>
  <c r="M107" i="1"/>
  <c r="J109" i="1"/>
  <c r="H110" i="1"/>
  <c r="D110" i="1"/>
  <c r="F109" i="1"/>
  <c r="B112" i="1"/>
  <c r="C111" i="1"/>
  <c r="P30" i="2" l="1"/>
  <c r="O32" i="2"/>
  <c r="M110" i="2"/>
  <c r="F111" i="2"/>
  <c r="K111" i="2"/>
  <c r="C112" i="2"/>
  <c r="E112" i="2" s="1"/>
  <c r="L112" i="2" s="1"/>
  <c r="D112" i="2"/>
  <c r="B113" i="2"/>
  <c r="G110" i="2"/>
  <c r="K109" i="1"/>
  <c r="N109" i="1" s="1"/>
  <c r="M108" i="1"/>
  <c r="J110" i="1"/>
  <c r="F110" i="1"/>
  <c r="G110" i="1"/>
  <c r="H111" i="1"/>
  <c r="D111" i="1"/>
  <c r="B113" i="1"/>
  <c r="C112" i="1"/>
  <c r="O33" i="2" l="1"/>
  <c r="P31" i="2"/>
  <c r="M111" i="2"/>
  <c r="F112" i="2"/>
  <c r="K112" i="2"/>
  <c r="C113" i="2"/>
  <c r="E113" i="2" s="1"/>
  <c r="L113" i="2" s="1"/>
  <c r="D113" i="2"/>
  <c r="G111" i="2"/>
  <c r="B114" i="2"/>
  <c r="K110" i="1"/>
  <c r="N110" i="1" s="1"/>
  <c r="M109" i="1"/>
  <c r="F111" i="1"/>
  <c r="G111" i="1"/>
  <c r="J111" i="1"/>
  <c r="H112" i="1"/>
  <c r="D112" i="1"/>
  <c r="G112" i="1" s="1"/>
  <c r="B114" i="1"/>
  <c r="C113" i="1"/>
  <c r="P32" i="2" l="1"/>
  <c r="O34" i="2"/>
  <c r="M112" i="2"/>
  <c r="F113" i="2"/>
  <c r="K113" i="2"/>
  <c r="C114" i="2"/>
  <c r="E114" i="2" s="1"/>
  <c r="L114" i="2" s="1"/>
  <c r="D114" i="2"/>
  <c r="G112" i="2"/>
  <c r="B115" i="2"/>
  <c r="M110" i="1"/>
  <c r="K111" i="1"/>
  <c r="N111" i="1" s="1"/>
  <c r="J112" i="1"/>
  <c r="D113" i="1"/>
  <c r="G113" i="1" s="1"/>
  <c r="H113" i="1"/>
  <c r="F112" i="1"/>
  <c r="B115" i="1"/>
  <c r="C114" i="1"/>
  <c r="O35" i="2" l="1"/>
  <c r="P33" i="2"/>
  <c r="M113" i="2"/>
  <c r="F114" i="2"/>
  <c r="K114" i="2"/>
  <c r="C115" i="2"/>
  <c r="E115" i="2" s="1"/>
  <c r="L115" i="2" s="1"/>
  <c r="D115" i="2"/>
  <c r="B116" i="2"/>
  <c r="G113" i="2"/>
  <c r="M111" i="1"/>
  <c r="K112" i="1"/>
  <c r="N112" i="1" s="1"/>
  <c r="J113" i="1"/>
  <c r="H114" i="1"/>
  <c r="D114" i="1"/>
  <c r="F113" i="1"/>
  <c r="B116" i="1"/>
  <c r="C115" i="1"/>
  <c r="P34" i="2" l="1"/>
  <c r="O36" i="2"/>
  <c r="M114" i="2"/>
  <c r="F115" i="2"/>
  <c r="K115" i="2"/>
  <c r="C116" i="2"/>
  <c r="E116" i="2" s="1"/>
  <c r="L116" i="2" s="1"/>
  <c r="D116" i="2"/>
  <c r="G114" i="2"/>
  <c r="B117" i="2"/>
  <c r="M112" i="1"/>
  <c r="K113" i="1"/>
  <c r="N113" i="1" s="1"/>
  <c r="J114" i="1"/>
  <c r="F114" i="1"/>
  <c r="G114" i="1"/>
  <c r="D115" i="1"/>
  <c r="G115" i="1" s="1"/>
  <c r="H115" i="1"/>
  <c r="B117" i="1"/>
  <c r="C116" i="1"/>
  <c r="O37" i="2" l="1"/>
  <c r="P35" i="2"/>
  <c r="M115" i="2"/>
  <c r="F116" i="2"/>
  <c r="K116" i="2"/>
  <c r="C117" i="2"/>
  <c r="E117" i="2" s="1"/>
  <c r="L117" i="2" s="1"/>
  <c r="D117" i="2"/>
  <c r="G115" i="2"/>
  <c r="B118" i="2"/>
  <c r="K114" i="1"/>
  <c r="N114" i="1" s="1"/>
  <c r="M113" i="1"/>
  <c r="J115" i="1"/>
  <c r="H116" i="1"/>
  <c r="D116" i="1"/>
  <c r="F115" i="1"/>
  <c r="B118" i="1"/>
  <c r="C117" i="1"/>
  <c r="O38" i="2" l="1"/>
  <c r="P36" i="2"/>
  <c r="M116" i="2"/>
  <c r="F117" i="2"/>
  <c r="K117" i="2"/>
  <c r="C118" i="2"/>
  <c r="E118" i="2" s="1"/>
  <c r="L118" i="2" s="1"/>
  <c r="D118" i="2"/>
  <c r="B119" i="2"/>
  <c r="G116" i="2"/>
  <c r="M114" i="1"/>
  <c r="K115" i="1"/>
  <c r="N115" i="1" s="1"/>
  <c r="M115" i="1"/>
  <c r="F116" i="1"/>
  <c r="G116" i="1"/>
  <c r="J116" i="1"/>
  <c r="H117" i="1"/>
  <c r="D117" i="1"/>
  <c r="B119" i="1"/>
  <c r="C118" i="1"/>
  <c r="O39" i="2" l="1"/>
  <c r="P37" i="2"/>
  <c r="M117" i="2"/>
  <c r="F118" i="2"/>
  <c r="K118" i="2"/>
  <c r="C119" i="2"/>
  <c r="E119" i="2" s="1"/>
  <c r="L119" i="2" s="1"/>
  <c r="D119" i="2"/>
  <c r="G117" i="2"/>
  <c r="B120" i="2"/>
  <c r="K116" i="1"/>
  <c r="N116" i="1" s="1"/>
  <c r="F117" i="1"/>
  <c r="G117" i="1"/>
  <c r="J117" i="1"/>
  <c r="H118" i="1"/>
  <c r="D118" i="1"/>
  <c r="B120" i="1"/>
  <c r="C119" i="1"/>
  <c r="O40" i="2" l="1"/>
  <c r="P38" i="2"/>
  <c r="M118" i="2"/>
  <c r="F119" i="2"/>
  <c r="G119" i="2" s="1"/>
  <c r="K119" i="2"/>
  <c r="C120" i="2"/>
  <c r="E120" i="2" s="1"/>
  <c r="L120" i="2" s="1"/>
  <c r="D120" i="2"/>
  <c r="G118" i="2"/>
  <c r="B121" i="2"/>
  <c r="M116" i="1"/>
  <c r="K117" i="1"/>
  <c r="N117" i="1" s="1"/>
  <c r="F118" i="1"/>
  <c r="G118" i="1"/>
  <c r="J118" i="1"/>
  <c r="H119" i="1"/>
  <c r="D119" i="1"/>
  <c r="B121" i="1"/>
  <c r="C120" i="1"/>
  <c r="O41" i="2" l="1"/>
  <c r="P39" i="2"/>
  <c r="M119" i="2"/>
  <c r="F120" i="2"/>
  <c r="K120" i="2"/>
  <c r="C121" i="2"/>
  <c r="E121" i="2" s="1"/>
  <c r="L121" i="2" s="1"/>
  <c r="D121" i="2"/>
  <c r="B122" i="2"/>
  <c r="K118" i="1"/>
  <c r="N118" i="1" s="1"/>
  <c r="M117" i="1"/>
  <c r="F119" i="1"/>
  <c r="G119" i="1"/>
  <c r="J119" i="1"/>
  <c r="H120" i="1"/>
  <c r="D120" i="1"/>
  <c r="B122" i="1"/>
  <c r="C121" i="1"/>
  <c r="O42" i="2" l="1"/>
  <c r="P40" i="2"/>
  <c r="M120" i="2"/>
  <c r="F121" i="2"/>
  <c r="K121" i="2"/>
  <c r="C122" i="2"/>
  <c r="E122" i="2" s="1"/>
  <c r="L122" i="2" s="1"/>
  <c r="D122" i="2"/>
  <c r="G120" i="2"/>
  <c r="B123" i="2"/>
  <c r="K119" i="1"/>
  <c r="N119" i="1" s="1"/>
  <c r="M118" i="1"/>
  <c r="J120" i="1"/>
  <c r="F120" i="1"/>
  <c r="G120" i="1"/>
  <c r="H121" i="1"/>
  <c r="D121" i="1"/>
  <c r="B123" i="1"/>
  <c r="C122" i="1"/>
  <c r="O43" i="2" l="1"/>
  <c r="P41" i="2"/>
  <c r="M121" i="2"/>
  <c r="F122" i="2"/>
  <c r="K122" i="2"/>
  <c r="C123" i="2"/>
  <c r="E123" i="2" s="1"/>
  <c r="L123" i="2" s="1"/>
  <c r="D123" i="2"/>
  <c r="G121" i="2"/>
  <c r="B124" i="2"/>
  <c r="K120" i="1"/>
  <c r="N120" i="1" s="1"/>
  <c r="M119" i="1"/>
  <c r="J121" i="1"/>
  <c r="F121" i="1"/>
  <c r="G121" i="1"/>
  <c r="H122" i="1"/>
  <c r="D122" i="1"/>
  <c r="G122" i="1" s="1"/>
  <c r="B124" i="1"/>
  <c r="C123" i="1"/>
  <c r="P42" i="2" l="1"/>
  <c r="O44" i="2"/>
  <c r="M122" i="2"/>
  <c r="F123" i="2"/>
  <c r="K123" i="2"/>
  <c r="C124" i="2"/>
  <c r="E124" i="2" s="1"/>
  <c r="L124" i="2" s="1"/>
  <c r="D124" i="2"/>
  <c r="G122" i="2"/>
  <c r="B125" i="2"/>
  <c r="K121" i="1"/>
  <c r="N121" i="1" s="1"/>
  <c r="M120" i="1"/>
  <c r="J122" i="1"/>
  <c r="H123" i="1"/>
  <c r="D123" i="1"/>
  <c r="F122" i="1"/>
  <c r="B125" i="1"/>
  <c r="C124" i="1"/>
  <c r="P43" i="2" l="1"/>
  <c r="O45" i="2"/>
  <c r="M123" i="2"/>
  <c r="F124" i="2"/>
  <c r="K124" i="2"/>
  <c r="C125" i="2"/>
  <c r="E125" i="2" s="1"/>
  <c r="L125" i="2" s="1"/>
  <c r="D125" i="2"/>
  <c r="G123" i="2"/>
  <c r="B126" i="2"/>
  <c r="K122" i="1"/>
  <c r="N122" i="1" s="1"/>
  <c r="M121" i="1"/>
  <c r="F123" i="1"/>
  <c r="G123" i="1"/>
  <c r="J123" i="1"/>
  <c r="H124" i="1"/>
  <c r="D124" i="1"/>
  <c r="B126" i="1"/>
  <c r="C125" i="1"/>
  <c r="P44" i="2" l="1"/>
  <c r="O46" i="2"/>
  <c r="M124" i="2"/>
  <c r="F125" i="2"/>
  <c r="K125" i="2"/>
  <c r="C126" i="2"/>
  <c r="E126" i="2" s="1"/>
  <c r="L126" i="2" s="1"/>
  <c r="D126" i="2"/>
  <c r="G124" i="2"/>
  <c r="B127" i="2"/>
  <c r="K123" i="1"/>
  <c r="N123" i="1" s="1"/>
  <c r="M122" i="1"/>
  <c r="F124" i="1"/>
  <c r="G124" i="1"/>
  <c r="J124" i="1"/>
  <c r="D125" i="1"/>
  <c r="G125" i="1" s="1"/>
  <c r="H125" i="1"/>
  <c r="B127" i="1"/>
  <c r="C126" i="1"/>
  <c r="O47" i="2" l="1"/>
  <c r="P45" i="2"/>
  <c r="M125" i="2"/>
  <c r="F126" i="2"/>
  <c r="K126" i="2"/>
  <c r="C127" i="2"/>
  <c r="E127" i="2" s="1"/>
  <c r="L127" i="2" s="1"/>
  <c r="D127" i="2"/>
  <c r="B128" i="2"/>
  <c r="G125" i="2"/>
  <c r="K124" i="1"/>
  <c r="N124" i="1" s="1"/>
  <c r="M124" i="1"/>
  <c r="M123" i="1"/>
  <c r="J125" i="1"/>
  <c r="D126" i="1"/>
  <c r="G126" i="1" s="1"/>
  <c r="H126" i="1"/>
  <c r="F125" i="1"/>
  <c r="B128" i="1"/>
  <c r="C127" i="1"/>
  <c r="O48" i="2" l="1"/>
  <c r="P46" i="2"/>
  <c r="M126" i="2"/>
  <c r="F127" i="2"/>
  <c r="K127" i="2"/>
  <c r="C128" i="2"/>
  <c r="E128" i="2" s="1"/>
  <c r="L128" i="2" s="1"/>
  <c r="D128" i="2"/>
  <c r="G126" i="2"/>
  <c r="B129" i="2"/>
  <c r="K125" i="1"/>
  <c r="N125" i="1" s="1"/>
  <c r="M125" i="1"/>
  <c r="J126" i="1"/>
  <c r="H127" i="1"/>
  <c r="D127" i="1"/>
  <c r="F126" i="1"/>
  <c r="B129" i="1"/>
  <c r="C128" i="1"/>
  <c r="O49" i="2" l="1"/>
  <c r="P47" i="2"/>
  <c r="M127" i="2"/>
  <c r="F128" i="2"/>
  <c r="K128" i="2"/>
  <c r="C129" i="2"/>
  <c r="E129" i="2" s="1"/>
  <c r="L129" i="2" s="1"/>
  <c r="D129" i="2"/>
  <c r="G127" i="2"/>
  <c r="B130" i="2"/>
  <c r="K126" i="1"/>
  <c r="N126" i="1" s="1"/>
  <c r="J127" i="1"/>
  <c r="F127" i="1"/>
  <c r="G127" i="1"/>
  <c r="H128" i="1"/>
  <c r="D128" i="1"/>
  <c r="B130" i="1"/>
  <c r="C129" i="1"/>
  <c r="P48" i="2" l="1"/>
  <c r="O50" i="2"/>
  <c r="M128" i="2"/>
  <c r="F129" i="2"/>
  <c r="K129" i="2"/>
  <c r="C130" i="2"/>
  <c r="E130" i="2" s="1"/>
  <c r="L130" i="2" s="1"/>
  <c r="D130" i="2"/>
  <c r="G128" i="2"/>
  <c r="B131" i="2"/>
  <c r="K127" i="1"/>
  <c r="N127" i="1" s="1"/>
  <c r="M126" i="1"/>
  <c r="F128" i="1"/>
  <c r="G128" i="1"/>
  <c r="J128" i="1"/>
  <c r="H129" i="1"/>
  <c r="D129" i="1"/>
  <c r="B131" i="1"/>
  <c r="C130" i="1"/>
  <c r="O51" i="2" l="1"/>
  <c r="P49" i="2"/>
  <c r="M129" i="2"/>
  <c r="F130" i="2"/>
  <c r="K130" i="2"/>
  <c r="C131" i="2"/>
  <c r="E131" i="2" s="1"/>
  <c r="L131" i="2" s="1"/>
  <c r="D131" i="2"/>
  <c r="G129" i="2"/>
  <c r="B132" i="2"/>
  <c r="M127" i="1"/>
  <c r="K128" i="1"/>
  <c r="N128" i="1" s="1"/>
  <c r="J129" i="1"/>
  <c r="F129" i="1"/>
  <c r="G129" i="1"/>
  <c r="H130" i="1"/>
  <c r="D130" i="1"/>
  <c r="B132" i="1"/>
  <c r="C131" i="1"/>
  <c r="P50" i="2" l="1"/>
  <c r="O52" i="2"/>
  <c r="M130" i="2"/>
  <c r="F131" i="2"/>
  <c r="K131" i="2"/>
  <c r="C132" i="2"/>
  <c r="E132" i="2" s="1"/>
  <c r="L132" i="2" s="1"/>
  <c r="D132" i="2"/>
  <c r="G130" i="2"/>
  <c r="B133" i="2"/>
  <c r="M128" i="1"/>
  <c r="K129" i="1"/>
  <c r="N129" i="1" s="1"/>
  <c r="J130" i="1"/>
  <c r="F130" i="1"/>
  <c r="G130" i="1"/>
  <c r="H131" i="1"/>
  <c r="D131" i="1"/>
  <c r="B133" i="1"/>
  <c r="C132" i="1"/>
  <c r="O53" i="2" l="1"/>
  <c r="P51" i="2"/>
  <c r="M131" i="2"/>
  <c r="F132" i="2"/>
  <c r="K132" i="2"/>
  <c r="C133" i="2"/>
  <c r="E133" i="2" s="1"/>
  <c r="L133" i="2" s="1"/>
  <c r="D133" i="2"/>
  <c r="G131" i="2"/>
  <c r="B134" i="2"/>
  <c r="K130" i="1"/>
  <c r="N130" i="1" s="1"/>
  <c r="M129" i="1"/>
  <c r="F131" i="1"/>
  <c r="G131" i="1"/>
  <c r="J131" i="1"/>
  <c r="H132" i="1"/>
  <c r="D132" i="1"/>
  <c r="B134" i="1"/>
  <c r="C133" i="1"/>
  <c r="O54" i="2" l="1"/>
  <c r="P52" i="2"/>
  <c r="M132" i="2"/>
  <c r="F133" i="2"/>
  <c r="G133" i="2" s="1"/>
  <c r="K133" i="2"/>
  <c r="C134" i="2"/>
  <c r="E134" i="2" s="1"/>
  <c r="L134" i="2" s="1"/>
  <c r="D134" i="2"/>
  <c r="G132" i="2"/>
  <c r="B135" i="2"/>
  <c r="M130" i="1"/>
  <c r="K131" i="1"/>
  <c r="N131" i="1" s="1"/>
  <c r="F132" i="1"/>
  <c r="G132" i="1"/>
  <c r="J132" i="1"/>
  <c r="D133" i="1"/>
  <c r="G133" i="1" s="1"/>
  <c r="H133" i="1"/>
  <c r="B135" i="1"/>
  <c r="C134" i="1"/>
  <c r="O55" i="2" l="1"/>
  <c r="P53" i="2"/>
  <c r="M133" i="2"/>
  <c r="F134" i="2"/>
  <c r="K134" i="2"/>
  <c r="C135" i="2"/>
  <c r="E135" i="2" s="1"/>
  <c r="L135" i="2" s="1"/>
  <c r="D135" i="2"/>
  <c r="B136" i="2"/>
  <c r="M131" i="1"/>
  <c r="K132" i="1"/>
  <c r="N132" i="1" s="1"/>
  <c r="J133" i="1"/>
  <c r="D134" i="1"/>
  <c r="G134" i="1" s="1"/>
  <c r="H134" i="1"/>
  <c r="F133" i="1"/>
  <c r="B136" i="1"/>
  <c r="C135" i="1"/>
  <c r="O56" i="2" l="1"/>
  <c r="P54" i="2"/>
  <c r="M134" i="2"/>
  <c r="F135" i="2"/>
  <c r="K135" i="2"/>
  <c r="C136" i="2"/>
  <c r="E136" i="2" s="1"/>
  <c r="L136" i="2" s="1"/>
  <c r="D136" i="2"/>
  <c r="G134" i="2"/>
  <c r="B137" i="2"/>
  <c r="M132" i="1"/>
  <c r="K133" i="1"/>
  <c r="N133" i="1" s="1"/>
  <c r="J134" i="1"/>
  <c r="H135" i="1"/>
  <c r="D135" i="1"/>
  <c r="F134" i="1"/>
  <c r="B137" i="1"/>
  <c r="C136" i="1"/>
  <c r="P55" i="2" l="1"/>
  <c r="O57" i="2"/>
  <c r="M135" i="2"/>
  <c r="F136" i="2"/>
  <c r="K136" i="2"/>
  <c r="C137" i="2"/>
  <c r="E137" i="2" s="1"/>
  <c r="L137" i="2" s="1"/>
  <c r="D137" i="2"/>
  <c r="G135" i="2"/>
  <c r="B138" i="2"/>
  <c r="K134" i="1"/>
  <c r="N134" i="1" s="1"/>
  <c r="M133" i="1"/>
  <c r="M134" i="1"/>
  <c r="F135" i="1"/>
  <c r="G135" i="1"/>
  <c r="J135" i="1"/>
  <c r="D136" i="1"/>
  <c r="G136" i="1" s="1"/>
  <c r="H136" i="1"/>
  <c r="B138" i="1"/>
  <c r="C137" i="1"/>
  <c r="P56" i="2" l="1"/>
  <c r="O58" i="2"/>
  <c r="M136" i="2"/>
  <c r="F137" i="2"/>
  <c r="K137" i="2"/>
  <c r="C138" i="2"/>
  <c r="E138" i="2" s="1"/>
  <c r="L138" i="2" s="1"/>
  <c r="D138" i="2"/>
  <c r="B139" i="2"/>
  <c r="G136" i="2"/>
  <c r="K135" i="1"/>
  <c r="N135" i="1" s="1"/>
  <c r="J136" i="1"/>
  <c r="H137" i="1"/>
  <c r="D137" i="1"/>
  <c r="F136" i="1"/>
  <c r="B139" i="1"/>
  <c r="C138" i="1"/>
  <c r="P57" i="2" l="1"/>
  <c r="O59" i="2"/>
  <c r="M137" i="2"/>
  <c r="F138" i="2"/>
  <c r="K138" i="2"/>
  <c r="C139" i="2"/>
  <c r="E139" i="2" s="1"/>
  <c r="L139" i="2" s="1"/>
  <c r="D139" i="2"/>
  <c r="B140" i="2"/>
  <c r="G137" i="2"/>
  <c r="M135" i="1"/>
  <c r="K136" i="1"/>
  <c r="N136" i="1" s="1"/>
  <c r="J137" i="1"/>
  <c r="F137" i="1"/>
  <c r="G137" i="1"/>
  <c r="H138" i="1"/>
  <c r="D138" i="1"/>
  <c r="B140" i="1"/>
  <c r="C139" i="1"/>
  <c r="P58" i="2" l="1"/>
  <c r="O60" i="2"/>
  <c r="M138" i="2"/>
  <c r="F139" i="2"/>
  <c r="K139" i="2"/>
  <c r="C140" i="2"/>
  <c r="E140" i="2" s="1"/>
  <c r="L140" i="2" s="1"/>
  <c r="D140" i="2"/>
  <c r="B141" i="2"/>
  <c r="G138" i="2"/>
  <c r="K137" i="1"/>
  <c r="N137" i="1" s="1"/>
  <c r="M136" i="1"/>
  <c r="M137" i="1"/>
  <c r="F138" i="1"/>
  <c r="G138" i="1"/>
  <c r="J138" i="1"/>
  <c r="H139" i="1"/>
  <c r="D139" i="1"/>
  <c r="B141" i="1"/>
  <c r="C140" i="1"/>
  <c r="P59" i="2" l="1"/>
  <c r="O61" i="2"/>
  <c r="M139" i="2"/>
  <c r="F140" i="2"/>
  <c r="K140" i="2"/>
  <c r="C141" i="2"/>
  <c r="E141" i="2" s="1"/>
  <c r="L141" i="2" s="1"/>
  <c r="D141" i="2"/>
  <c r="G139" i="2"/>
  <c r="B142" i="2"/>
  <c r="K138" i="1"/>
  <c r="N138" i="1" s="1"/>
  <c r="M138" i="1"/>
  <c r="J139" i="1"/>
  <c r="F139" i="1"/>
  <c r="G139" i="1"/>
  <c r="H140" i="1"/>
  <c r="D140" i="1"/>
  <c r="B142" i="1"/>
  <c r="C141" i="1"/>
  <c r="O62" i="2" l="1"/>
  <c r="P60" i="2"/>
  <c r="M140" i="2"/>
  <c r="F141" i="2"/>
  <c r="K141" i="2"/>
  <c r="C142" i="2"/>
  <c r="E142" i="2" s="1"/>
  <c r="L142" i="2" s="1"/>
  <c r="D142" i="2"/>
  <c r="G140" i="2"/>
  <c r="B143" i="2"/>
  <c r="K139" i="1"/>
  <c r="N139" i="1" s="1"/>
  <c r="M139" i="1"/>
  <c r="F140" i="1"/>
  <c r="G140" i="1"/>
  <c r="J140" i="1"/>
  <c r="D141" i="1"/>
  <c r="G141" i="1" s="1"/>
  <c r="H141" i="1"/>
  <c r="B143" i="1"/>
  <c r="C142" i="1"/>
  <c r="O63" i="2" l="1"/>
  <c r="P61" i="2"/>
  <c r="M141" i="2"/>
  <c r="F142" i="2"/>
  <c r="K142" i="2"/>
  <c r="C143" i="2"/>
  <c r="E143" i="2" s="1"/>
  <c r="L143" i="2" s="1"/>
  <c r="D143" i="2"/>
  <c r="G141" i="2"/>
  <c r="B144" i="2"/>
  <c r="K140" i="1"/>
  <c r="N140" i="1" s="1"/>
  <c r="J141" i="1"/>
  <c r="H142" i="1"/>
  <c r="D142" i="1"/>
  <c r="F141" i="1"/>
  <c r="B144" i="1"/>
  <c r="C143" i="1"/>
  <c r="P62" i="2" l="1"/>
  <c r="O64" i="2"/>
  <c r="M142" i="2"/>
  <c r="F143" i="2"/>
  <c r="K143" i="2"/>
  <c r="C144" i="2"/>
  <c r="E144" i="2" s="1"/>
  <c r="L144" i="2" s="1"/>
  <c r="D144" i="2"/>
  <c r="B145" i="2"/>
  <c r="G142" i="2"/>
  <c r="M140" i="1"/>
  <c r="K141" i="1"/>
  <c r="N141" i="1" s="1"/>
  <c r="F142" i="1"/>
  <c r="G142" i="1"/>
  <c r="J142" i="1"/>
  <c r="H143" i="1"/>
  <c r="D143" i="1"/>
  <c r="B145" i="1"/>
  <c r="C144" i="1"/>
  <c r="O65" i="2" l="1"/>
  <c r="P63" i="2"/>
  <c r="M143" i="2"/>
  <c r="F144" i="2"/>
  <c r="K144" i="2"/>
  <c r="C145" i="2"/>
  <c r="E145" i="2" s="1"/>
  <c r="L145" i="2" s="1"/>
  <c r="D145" i="2"/>
  <c r="G143" i="2"/>
  <c r="B146" i="2"/>
  <c r="K142" i="1"/>
  <c r="N142" i="1" s="1"/>
  <c r="M141" i="1"/>
  <c r="J143" i="1"/>
  <c r="F143" i="1"/>
  <c r="G143" i="1"/>
  <c r="H144" i="1"/>
  <c r="D144" i="1"/>
  <c r="B146" i="1"/>
  <c r="C145" i="1"/>
  <c r="P64" i="2" l="1"/>
  <c r="O66" i="2"/>
  <c r="M144" i="2"/>
  <c r="F145" i="2"/>
  <c r="K145" i="2"/>
  <c r="C146" i="2"/>
  <c r="E146" i="2" s="1"/>
  <c r="L146" i="2" s="1"/>
  <c r="D146" i="2"/>
  <c r="G144" i="2"/>
  <c r="B147" i="2"/>
  <c r="M142" i="1"/>
  <c r="K143" i="1"/>
  <c r="N143" i="1" s="1"/>
  <c r="F144" i="1"/>
  <c r="G144" i="1"/>
  <c r="J144" i="1"/>
  <c r="D145" i="1"/>
  <c r="G145" i="1" s="1"/>
  <c r="H145" i="1"/>
  <c r="B147" i="1"/>
  <c r="C146" i="1"/>
  <c r="P65" i="2" l="1"/>
  <c r="O67" i="2"/>
  <c r="M145" i="2"/>
  <c r="F146" i="2"/>
  <c r="K146" i="2"/>
  <c r="C147" i="2"/>
  <c r="E147" i="2" s="1"/>
  <c r="L147" i="2" s="1"/>
  <c r="D147" i="2"/>
  <c r="B148" i="2"/>
  <c r="G145" i="2"/>
  <c r="M143" i="1"/>
  <c r="K144" i="1"/>
  <c r="N144" i="1" s="1"/>
  <c r="J145" i="1"/>
  <c r="H146" i="1"/>
  <c r="D146" i="1"/>
  <c r="F145" i="1"/>
  <c r="B148" i="1"/>
  <c r="C147" i="1"/>
  <c r="O68" i="2" l="1"/>
  <c r="P66" i="2"/>
  <c r="M146" i="2"/>
  <c r="F147" i="2"/>
  <c r="K147" i="2"/>
  <c r="C148" i="2"/>
  <c r="E148" i="2" s="1"/>
  <c r="L148" i="2" s="1"/>
  <c r="D148" i="2"/>
  <c r="G146" i="2"/>
  <c r="B149" i="2"/>
  <c r="K145" i="1"/>
  <c r="N145" i="1" s="1"/>
  <c r="M144" i="1"/>
  <c r="F146" i="1"/>
  <c r="K146" i="1" s="1"/>
  <c r="G146" i="1"/>
  <c r="J146" i="1"/>
  <c r="D147" i="1"/>
  <c r="H147" i="1"/>
  <c r="B149" i="1"/>
  <c r="C148" i="1"/>
  <c r="O69" i="2" l="1"/>
  <c r="P67" i="2"/>
  <c r="M147" i="2"/>
  <c r="F148" i="2"/>
  <c r="K148" i="2"/>
  <c r="C149" i="2"/>
  <c r="E149" i="2" s="1"/>
  <c r="L149" i="2" s="1"/>
  <c r="D149" i="2"/>
  <c r="G147" i="2"/>
  <c r="B150" i="2"/>
  <c r="N146" i="1"/>
  <c r="M145" i="1"/>
  <c r="J147" i="1"/>
  <c r="F147" i="1"/>
  <c r="G147" i="1"/>
  <c r="H148" i="1"/>
  <c r="D148" i="1"/>
  <c r="B150" i="1"/>
  <c r="C149" i="1"/>
  <c r="O70" i="2" l="1"/>
  <c r="P68" i="2"/>
  <c r="M148" i="2"/>
  <c r="F149" i="2"/>
  <c r="G149" i="2" s="1"/>
  <c r="K149" i="2"/>
  <c r="C150" i="2"/>
  <c r="E150" i="2" s="1"/>
  <c r="L150" i="2" s="1"/>
  <c r="D150" i="2"/>
  <c r="B151" i="2"/>
  <c r="G148" i="2"/>
  <c r="M146" i="1"/>
  <c r="K147" i="1"/>
  <c r="N147" i="1" s="1"/>
  <c r="J148" i="1"/>
  <c r="F148" i="1"/>
  <c r="G148" i="1"/>
  <c r="H149" i="1"/>
  <c r="D149" i="1"/>
  <c r="B151" i="1"/>
  <c r="C150" i="1"/>
  <c r="P69" i="2" l="1"/>
  <c r="O71" i="2"/>
  <c r="M149" i="2"/>
  <c r="F150" i="2"/>
  <c r="K150" i="2"/>
  <c r="C151" i="2"/>
  <c r="E151" i="2" s="1"/>
  <c r="L151" i="2" s="1"/>
  <c r="D151" i="2"/>
  <c r="B152" i="2"/>
  <c r="K148" i="1"/>
  <c r="N148" i="1" s="1"/>
  <c r="M147" i="1"/>
  <c r="F149" i="1"/>
  <c r="G149" i="1"/>
  <c r="J149" i="1"/>
  <c r="H150" i="1"/>
  <c r="D150" i="1"/>
  <c r="B152" i="1"/>
  <c r="C151" i="1"/>
  <c r="O72" i="2" l="1"/>
  <c r="P70" i="2"/>
  <c r="M150" i="2"/>
  <c r="F151" i="2"/>
  <c r="K151" i="2"/>
  <c r="C152" i="2"/>
  <c r="E152" i="2" s="1"/>
  <c r="L152" i="2" s="1"/>
  <c r="D152" i="2"/>
  <c r="G150" i="2"/>
  <c r="B153" i="2"/>
  <c r="K149" i="1"/>
  <c r="N149" i="1" s="1"/>
  <c r="M148" i="1"/>
  <c r="F150" i="1"/>
  <c r="G150" i="1"/>
  <c r="J150" i="1"/>
  <c r="H151" i="1"/>
  <c r="D151" i="1"/>
  <c r="B153" i="1"/>
  <c r="C152" i="1"/>
  <c r="O73" i="2" l="1"/>
  <c r="P71" i="2"/>
  <c r="M151" i="2"/>
  <c r="F152" i="2"/>
  <c r="K152" i="2"/>
  <c r="C153" i="2"/>
  <c r="E153" i="2" s="1"/>
  <c r="L153" i="2" s="1"/>
  <c r="D153" i="2"/>
  <c r="G151" i="2"/>
  <c r="B154" i="2"/>
  <c r="K150" i="1"/>
  <c r="N150" i="1" s="1"/>
  <c r="M149" i="1"/>
  <c r="J151" i="1"/>
  <c r="F151" i="1"/>
  <c r="G151" i="1"/>
  <c r="H152" i="1"/>
  <c r="D152" i="1"/>
  <c r="B154" i="1"/>
  <c r="C153" i="1"/>
  <c r="O74" i="2" l="1"/>
  <c r="P72" i="2"/>
  <c r="M152" i="2"/>
  <c r="F153" i="2"/>
  <c r="K153" i="2"/>
  <c r="C154" i="2"/>
  <c r="E154" i="2" s="1"/>
  <c r="L154" i="2" s="1"/>
  <c r="D154" i="2"/>
  <c r="G152" i="2"/>
  <c r="B155" i="2"/>
  <c r="M150" i="1"/>
  <c r="K151" i="1"/>
  <c r="N151" i="1" s="1"/>
  <c r="F152" i="1"/>
  <c r="G152" i="1"/>
  <c r="J152" i="1"/>
  <c r="H153" i="1"/>
  <c r="D153" i="1"/>
  <c r="B155" i="1"/>
  <c r="C154" i="1"/>
  <c r="O75" i="2" l="1"/>
  <c r="P73" i="2"/>
  <c r="M153" i="2"/>
  <c r="F154" i="2"/>
  <c r="K154" i="2"/>
  <c r="C155" i="2"/>
  <c r="E155" i="2" s="1"/>
  <c r="L155" i="2" s="1"/>
  <c r="D155" i="2"/>
  <c r="G153" i="2"/>
  <c r="B156" i="2"/>
  <c r="K152" i="1"/>
  <c r="N152" i="1" s="1"/>
  <c r="M151" i="1"/>
  <c r="F153" i="1"/>
  <c r="G153" i="1"/>
  <c r="J153" i="1"/>
  <c r="H154" i="1"/>
  <c r="D154" i="1"/>
  <c r="B156" i="1"/>
  <c r="C155" i="1"/>
  <c r="P74" i="2" l="1"/>
  <c r="O76" i="2"/>
  <c r="M154" i="2"/>
  <c r="F155" i="2"/>
  <c r="K155" i="2"/>
  <c r="C156" i="2"/>
  <c r="E156" i="2" s="1"/>
  <c r="L156" i="2" s="1"/>
  <c r="D156" i="2"/>
  <c r="G154" i="2"/>
  <c r="B157" i="2"/>
  <c r="M152" i="1"/>
  <c r="K153" i="1"/>
  <c r="N153" i="1" s="1"/>
  <c r="F154" i="1"/>
  <c r="G154" i="1"/>
  <c r="J154" i="1"/>
  <c r="H155" i="1"/>
  <c r="D155" i="1"/>
  <c r="B157" i="1"/>
  <c r="C156" i="1"/>
  <c r="O77" i="2" l="1"/>
  <c r="P75" i="2"/>
  <c r="M155" i="2"/>
  <c r="F156" i="2"/>
  <c r="K156" i="2"/>
  <c r="C157" i="2"/>
  <c r="E157" i="2" s="1"/>
  <c r="L157" i="2" s="1"/>
  <c r="D157" i="2"/>
  <c r="G155" i="2"/>
  <c r="B158" i="2"/>
  <c r="M153" i="1"/>
  <c r="K154" i="1"/>
  <c r="N154" i="1" s="1"/>
  <c r="J155" i="1"/>
  <c r="F155" i="1"/>
  <c r="G155" i="1"/>
  <c r="H156" i="1"/>
  <c r="D156" i="1"/>
  <c r="B158" i="1"/>
  <c r="C157" i="1"/>
  <c r="P76" i="2" l="1"/>
  <c r="O78" i="2"/>
  <c r="M156" i="2"/>
  <c r="F157" i="2"/>
  <c r="K157" i="2"/>
  <c r="C158" i="2"/>
  <c r="E158" i="2" s="1"/>
  <c r="L158" i="2" s="1"/>
  <c r="D158" i="2"/>
  <c r="G156" i="2"/>
  <c r="B159" i="2"/>
  <c r="K155" i="1"/>
  <c r="N155" i="1" s="1"/>
  <c r="M155" i="1"/>
  <c r="M154" i="1"/>
  <c r="F156" i="1"/>
  <c r="G156" i="1"/>
  <c r="J156" i="1"/>
  <c r="D157" i="1"/>
  <c r="H157" i="1"/>
  <c r="B159" i="1"/>
  <c r="C158" i="1"/>
  <c r="P77" i="2" l="1"/>
  <c r="O79" i="2"/>
  <c r="M157" i="2"/>
  <c r="F158" i="2"/>
  <c r="K158" i="2"/>
  <c r="C159" i="2"/>
  <c r="E159" i="2" s="1"/>
  <c r="L159" i="2" s="1"/>
  <c r="D159" i="2"/>
  <c r="G157" i="2"/>
  <c r="B160" i="2"/>
  <c r="K156" i="1"/>
  <c r="N156" i="1" s="1"/>
  <c r="J157" i="1"/>
  <c r="F157" i="1"/>
  <c r="G157" i="1"/>
  <c r="H158" i="1"/>
  <c r="D158" i="1"/>
  <c r="G158" i="1" s="1"/>
  <c r="B160" i="1"/>
  <c r="C159" i="1"/>
  <c r="P78" i="2" l="1"/>
  <c r="O80" i="2"/>
  <c r="M158" i="2"/>
  <c r="F159" i="2"/>
  <c r="K159" i="2"/>
  <c r="C160" i="2"/>
  <c r="E160" i="2" s="1"/>
  <c r="L160" i="2" s="1"/>
  <c r="D160" i="2"/>
  <c r="B161" i="2"/>
  <c r="G158" i="2"/>
  <c r="M156" i="1"/>
  <c r="K157" i="1"/>
  <c r="N157" i="1" s="1"/>
  <c r="J158" i="1"/>
  <c r="H159" i="1"/>
  <c r="D159" i="1"/>
  <c r="F158" i="1"/>
  <c r="B161" i="1"/>
  <c r="C160" i="1"/>
  <c r="O81" i="2" l="1"/>
  <c r="P79" i="2"/>
  <c r="M159" i="2"/>
  <c r="F160" i="2"/>
  <c r="K160" i="2"/>
  <c r="C161" i="2"/>
  <c r="E161" i="2" s="1"/>
  <c r="L161" i="2" s="1"/>
  <c r="D161" i="2"/>
  <c r="G159" i="2"/>
  <c r="B162" i="2"/>
  <c r="M157" i="1"/>
  <c r="K158" i="1"/>
  <c r="N158" i="1" s="1"/>
  <c r="F159" i="1"/>
  <c r="G159" i="1"/>
  <c r="J159" i="1"/>
  <c r="H160" i="1"/>
  <c r="D160" i="1"/>
  <c r="B162" i="1"/>
  <c r="C161" i="1"/>
  <c r="P80" i="2" l="1"/>
  <c r="O82" i="2"/>
  <c r="M160" i="2"/>
  <c r="F161" i="2"/>
  <c r="K161" i="2"/>
  <c r="C162" i="2"/>
  <c r="E162" i="2" s="1"/>
  <c r="L162" i="2" s="1"/>
  <c r="D162" i="2"/>
  <c r="G160" i="2"/>
  <c r="B163" i="2"/>
  <c r="M158" i="1"/>
  <c r="K159" i="1"/>
  <c r="N159" i="1" s="1"/>
  <c r="F160" i="1"/>
  <c r="G160" i="1"/>
  <c r="J160" i="1"/>
  <c r="H161" i="1"/>
  <c r="D161" i="1"/>
  <c r="G161" i="1" s="1"/>
  <c r="B163" i="1"/>
  <c r="C162" i="1"/>
  <c r="O83" i="2" l="1"/>
  <c r="P81" i="2"/>
  <c r="M161" i="2"/>
  <c r="F162" i="2"/>
  <c r="K162" i="2"/>
  <c r="C163" i="2"/>
  <c r="E163" i="2" s="1"/>
  <c r="L163" i="2" s="1"/>
  <c r="D163" i="2"/>
  <c r="G161" i="2"/>
  <c r="B164" i="2"/>
  <c r="K160" i="1"/>
  <c r="N160" i="1" s="1"/>
  <c r="M159" i="1"/>
  <c r="J161" i="1"/>
  <c r="D162" i="1"/>
  <c r="H162" i="1"/>
  <c r="F161" i="1"/>
  <c r="B164" i="1"/>
  <c r="C163" i="1"/>
  <c r="P82" i="2" l="1"/>
  <c r="O84" i="2"/>
  <c r="M162" i="2"/>
  <c r="F163" i="2"/>
  <c r="K163" i="2"/>
  <c r="C164" i="2"/>
  <c r="E164" i="2" s="1"/>
  <c r="L164" i="2" s="1"/>
  <c r="D164" i="2"/>
  <c r="G162" i="2"/>
  <c r="B165" i="2"/>
  <c r="M160" i="1"/>
  <c r="K161" i="1"/>
  <c r="N161" i="1" s="1"/>
  <c r="F162" i="1"/>
  <c r="G162" i="1"/>
  <c r="J162" i="1"/>
  <c r="D163" i="1"/>
  <c r="G163" i="1" s="1"/>
  <c r="H163" i="1"/>
  <c r="B165" i="1"/>
  <c r="C164" i="1"/>
  <c r="O85" i="2" l="1"/>
  <c r="P83" i="2"/>
  <c r="M163" i="2"/>
  <c r="F164" i="2"/>
  <c r="K164" i="2"/>
  <c r="C165" i="2"/>
  <c r="E165" i="2" s="1"/>
  <c r="L165" i="2" s="1"/>
  <c r="D165" i="2"/>
  <c r="G163" i="2"/>
  <c r="B166" i="2"/>
  <c r="M161" i="1"/>
  <c r="K162" i="1"/>
  <c r="N162" i="1" s="1"/>
  <c r="J163" i="1"/>
  <c r="H164" i="1"/>
  <c r="D164" i="1"/>
  <c r="F163" i="1"/>
  <c r="B166" i="1"/>
  <c r="C165" i="1"/>
  <c r="O86" i="2" l="1"/>
  <c r="P84" i="2"/>
  <c r="M164" i="2"/>
  <c r="F165" i="2"/>
  <c r="K165" i="2"/>
  <c r="C166" i="2"/>
  <c r="E166" i="2" s="1"/>
  <c r="L166" i="2" s="1"/>
  <c r="D166" i="2"/>
  <c r="G164" i="2"/>
  <c r="B167" i="2"/>
  <c r="M162" i="1"/>
  <c r="K163" i="1"/>
  <c r="N163" i="1" s="1"/>
  <c r="F164" i="1"/>
  <c r="G164" i="1"/>
  <c r="J164" i="1"/>
  <c r="D165" i="1"/>
  <c r="G165" i="1" s="1"/>
  <c r="H165" i="1"/>
  <c r="B167" i="1"/>
  <c r="C166" i="1"/>
  <c r="P85" i="2" l="1"/>
  <c r="O87" i="2"/>
  <c r="M165" i="2"/>
  <c r="F166" i="2"/>
  <c r="K166" i="2"/>
  <c r="C167" i="2"/>
  <c r="E167" i="2" s="1"/>
  <c r="L167" i="2" s="1"/>
  <c r="D167" i="2"/>
  <c r="G165" i="2"/>
  <c r="B168" i="2"/>
  <c r="M163" i="1"/>
  <c r="K164" i="1"/>
  <c r="N164" i="1" s="1"/>
  <c r="J165" i="1"/>
  <c r="D166" i="1"/>
  <c r="G166" i="1" s="1"/>
  <c r="H166" i="1"/>
  <c r="F165" i="1"/>
  <c r="B168" i="1"/>
  <c r="C167" i="1"/>
  <c r="P86" i="2" l="1"/>
  <c r="O88" i="2"/>
  <c r="M166" i="2"/>
  <c r="F167" i="2"/>
  <c r="K167" i="2"/>
  <c r="C168" i="2"/>
  <c r="E168" i="2" s="1"/>
  <c r="L168" i="2" s="1"/>
  <c r="D168" i="2"/>
  <c r="G166" i="2"/>
  <c r="B169" i="2"/>
  <c r="K165" i="1"/>
  <c r="N165" i="1" s="1"/>
  <c r="M164" i="1"/>
  <c r="J166" i="1"/>
  <c r="H167" i="1"/>
  <c r="D167" i="1"/>
  <c r="F166" i="1"/>
  <c r="B169" i="1"/>
  <c r="C168" i="1"/>
  <c r="O89" i="2" l="1"/>
  <c r="P87" i="2"/>
  <c r="M167" i="2"/>
  <c r="F168" i="2"/>
  <c r="K168" i="2"/>
  <c r="C169" i="2"/>
  <c r="E169" i="2" s="1"/>
  <c r="L169" i="2" s="1"/>
  <c r="D169" i="2"/>
  <c r="G167" i="2"/>
  <c r="B170" i="2"/>
  <c r="M165" i="1"/>
  <c r="K166" i="1"/>
  <c r="N166" i="1" s="1"/>
  <c r="F167" i="1"/>
  <c r="G167" i="1"/>
  <c r="J167" i="1"/>
  <c r="H168" i="1"/>
  <c r="D168" i="1"/>
  <c r="G168" i="1" s="1"/>
  <c r="B170" i="1"/>
  <c r="C169" i="1"/>
  <c r="O90" i="2" l="1"/>
  <c r="P88" i="2"/>
  <c r="M168" i="2"/>
  <c r="F169" i="2"/>
  <c r="K169" i="2"/>
  <c r="C170" i="2"/>
  <c r="E170" i="2" s="1"/>
  <c r="L170" i="2" s="1"/>
  <c r="D170" i="2"/>
  <c r="G168" i="2"/>
  <c r="B171" i="2"/>
  <c r="K167" i="1"/>
  <c r="N167" i="1" s="1"/>
  <c r="M166" i="1"/>
  <c r="J168" i="1"/>
  <c r="H169" i="1"/>
  <c r="D169" i="1"/>
  <c r="F168" i="1"/>
  <c r="B171" i="1"/>
  <c r="C170" i="1"/>
  <c r="O91" i="2" l="1"/>
  <c r="P89" i="2"/>
  <c r="M169" i="2"/>
  <c r="F170" i="2"/>
  <c r="K170" i="2"/>
  <c r="C171" i="2"/>
  <c r="E171" i="2" s="1"/>
  <c r="L171" i="2" s="1"/>
  <c r="D171" i="2"/>
  <c r="G169" i="2"/>
  <c r="B172" i="2"/>
  <c r="K168" i="1"/>
  <c r="N168" i="1" s="1"/>
  <c r="M167" i="1"/>
  <c r="F169" i="1"/>
  <c r="G169" i="1"/>
  <c r="J169" i="1"/>
  <c r="H170" i="1"/>
  <c r="D170" i="1"/>
  <c r="B172" i="1"/>
  <c r="C171" i="1"/>
  <c r="O92" i="2" l="1"/>
  <c r="P90" i="2"/>
  <c r="M170" i="2"/>
  <c r="F171" i="2"/>
  <c r="K171" i="2"/>
  <c r="C172" i="2"/>
  <c r="E172" i="2" s="1"/>
  <c r="L172" i="2" s="1"/>
  <c r="D172" i="2"/>
  <c r="G170" i="2"/>
  <c r="B173" i="2"/>
  <c r="K169" i="1"/>
  <c r="N169" i="1" s="1"/>
  <c r="M168" i="1"/>
  <c r="F170" i="1"/>
  <c r="G170" i="1"/>
  <c r="J170" i="1"/>
  <c r="D171" i="1"/>
  <c r="G171" i="1" s="1"/>
  <c r="H171" i="1"/>
  <c r="B173" i="1"/>
  <c r="C172" i="1"/>
  <c r="P91" i="2" l="1"/>
  <c r="O93" i="2"/>
  <c r="M171" i="2"/>
  <c r="F172" i="2"/>
  <c r="K172" i="2"/>
  <c r="C173" i="2"/>
  <c r="E173" i="2" s="1"/>
  <c r="L173" i="2" s="1"/>
  <c r="D173" i="2"/>
  <c r="G171" i="2"/>
  <c r="B174" i="2"/>
  <c r="K170" i="1"/>
  <c r="N170" i="1" s="1"/>
  <c r="M169" i="1"/>
  <c r="J171" i="1"/>
  <c r="H172" i="1"/>
  <c r="D172" i="1"/>
  <c r="F171" i="1"/>
  <c r="B174" i="1"/>
  <c r="C173" i="1"/>
  <c r="P92" i="2" l="1"/>
  <c r="O94" i="2"/>
  <c r="M172" i="2"/>
  <c r="F173" i="2"/>
  <c r="K173" i="2"/>
  <c r="C174" i="2"/>
  <c r="E174" i="2" s="1"/>
  <c r="L174" i="2" s="1"/>
  <c r="D174" i="2"/>
  <c r="G172" i="2"/>
  <c r="B175" i="2"/>
  <c r="K171" i="1"/>
  <c r="N171" i="1" s="1"/>
  <c r="M170" i="1"/>
  <c r="F172" i="1"/>
  <c r="G172" i="1"/>
  <c r="J172" i="1"/>
  <c r="D173" i="1"/>
  <c r="G173" i="1" s="1"/>
  <c r="H173" i="1"/>
  <c r="B175" i="1"/>
  <c r="C174" i="1"/>
  <c r="O95" i="2" l="1"/>
  <c r="P93" i="2"/>
  <c r="M173" i="2"/>
  <c r="F174" i="2"/>
  <c r="K174" i="2"/>
  <c r="C175" i="2"/>
  <c r="E175" i="2" s="1"/>
  <c r="L175" i="2" s="1"/>
  <c r="D175" i="2"/>
  <c r="G173" i="2"/>
  <c r="B176" i="2"/>
  <c r="K172" i="1"/>
  <c r="N172" i="1" s="1"/>
  <c r="M171" i="1"/>
  <c r="J173" i="1"/>
  <c r="F173" i="1"/>
  <c r="D174" i="1"/>
  <c r="G174" i="1" s="1"/>
  <c r="H174" i="1"/>
  <c r="B176" i="1"/>
  <c r="C175" i="1"/>
  <c r="O96" i="2" l="1"/>
  <c r="P94" i="2"/>
  <c r="M174" i="2"/>
  <c r="F175" i="2"/>
  <c r="K175" i="2"/>
  <c r="C176" i="2"/>
  <c r="E176" i="2" s="1"/>
  <c r="L176" i="2" s="1"/>
  <c r="D176" i="2"/>
  <c r="B177" i="2"/>
  <c r="G174" i="2"/>
  <c r="K173" i="1"/>
  <c r="N173" i="1" s="1"/>
  <c r="M172" i="1"/>
  <c r="J174" i="1"/>
  <c r="H175" i="1"/>
  <c r="D175" i="1"/>
  <c r="F174" i="1"/>
  <c r="B177" i="1"/>
  <c r="C176" i="1"/>
  <c r="P95" i="2" l="1"/>
  <c r="O97" i="2"/>
  <c r="M175" i="2"/>
  <c r="F176" i="2"/>
  <c r="K176" i="2"/>
  <c r="C177" i="2"/>
  <c r="E177" i="2" s="1"/>
  <c r="L177" i="2" s="1"/>
  <c r="D177" i="2"/>
  <c r="G175" i="2"/>
  <c r="B178" i="2"/>
  <c r="K174" i="1"/>
  <c r="N174" i="1" s="1"/>
  <c r="M174" i="1"/>
  <c r="M173" i="1"/>
  <c r="J175" i="1"/>
  <c r="F175" i="1"/>
  <c r="G175" i="1"/>
  <c r="H176" i="1"/>
  <c r="D176" i="1"/>
  <c r="B178" i="1"/>
  <c r="C177" i="1"/>
  <c r="O98" i="2" l="1"/>
  <c r="P96" i="2"/>
  <c r="M176" i="2"/>
  <c r="F177" i="2"/>
  <c r="K177" i="2"/>
  <c r="C178" i="2"/>
  <c r="E178" i="2" s="1"/>
  <c r="L178" i="2" s="1"/>
  <c r="D178" i="2"/>
  <c r="G176" i="2"/>
  <c r="B179" i="2"/>
  <c r="K175" i="1"/>
  <c r="N175" i="1" s="1"/>
  <c r="M175" i="1"/>
  <c r="F176" i="1"/>
  <c r="G176" i="1"/>
  <c r="J176" i="1"/>
  <c r="H177" i="1"/>
  <c r="D177" i="1"/>
  <c r="B179" i="1"/>
  <c r="C178" i="1"/>
  <c r="P97" i="2" l="1"/>
  <c r="O99" i="2"/>
  <c r="M177" i="2"/>
  <c r="F178" i="2"/>
  <c r="K178" i="2"/>
  <c r="C179" i="2"/>
  <c r="E179" i="2" s="1"/>
  <c r="L179" i="2" s="1"/>
  <c r="D179" i="2"/>
  <c r="G177" i="2"/>
  <c r="B180" i="2"/>
  <c r="K176" i="1"/>
  <c r="N176" i="1" s="1"/>
  <c r="J177" i="1"/>
  <c r="F177" i="1"/>
  <c r="G177" i="1"/>
  <c r="H178" i="1"/>
  <c r="D178" i="1"/>
  <c r="B180" i="1"/>
  <c r="C179" i="1"/>
  <c r="P98" i="2" l="1"/>
  <c r="O100" i="2"/>
  <c r="M178" i="2"/>
  <c r="F179" i="2"/>
  <c r="K179" i="2"/>
  <c r="C180" i="2"/>
  <c r="E180" i="2" s="1"/>
  <c r="L180" i="2" s="1"/>
  <c r="D180" i="2"/>
  <c r="G178" i="2"/>
  <c r="B181" i="2"/>
  <c r="K177" i="1"/>
  <c r="N177" i="1" s="1"/>
  <c r="M177" i="1"/>
  <c r="M176" i="1"/>
  <c r="F178" i="1"/>
  <c r="G178" i="1"/>
  <c r="J178" i="1"/>
  <c r="D179" i="1"/>
  <c r="G179" i="1" s="1"/>
  <c r="H179" i="1"/>
  <c r="B181" i="1"/>
  <c r="C180" i="1"/>
  <c r="O101" i="2" l="1"/>
  <c r="P99" i="2"/>
  <c r="M179" i="2"/>
  <c r="F180" i="2"/>
  <c r="K180" i="2"/>
  <c r="C181" i="2"/>
  <c r="E181" i="2" s="1"/>
  <c r="L181" i="2" s="1"/>
  <c r="D181" i="2"/>
  <c r="G179" i="2"/>
  <c r="B182" i="2"/>
  <c r="K178" i="1"/>
  <c r="N178" i="1" s="1"/>
  <c r="J179" i="1"/>
  <c r="H180" i="1"/>
  <c r="D180" i="1"/>
  <c r="F179" i="1"/>
  <c r="B182" i="1"/>
  <c r="C181" i="1"/>
  <c r="P100" i="2" l="1"/>
  <c r="O102" i="2"/>
  <c r="M180" i="2"/>
  <c r="F181" i="2"/>
  <c r="K181" i="2"/>
  <c r="C182" i="2"/>
  <c r="E182" i="2" s="1"/>
  <c r="L182" i="2" s="1"/>
  <c r="D182" i="2"/>
  <c r="G180" i="2"/>
  <c r="B183" i="2"/>
  <c r="K179" i="1"/>
  <c r="N179" i="1" s="1"/>
  <c r="M178" i="1"/>
  <c r="F180" i="1"/>
  <c r="G180" i="1"/>
  <c r="J180" i="1"/>
  <c r="H181" i="1"/>
  <c r="D181" i="1"/>
  <c r="B183" i="1"/>
  <c r="C182" i="1"/>
  <c r="O103" i="2" l="1"/>
  <c r="P101" i="2"/>
  <c r="M181" i="2"/>
  <c r="F182" i="2"/>
  <c r="K182" i="2"/>
  <c r="C183" i="2"/>
  <c r="E183" i="2" s="1"/>
  <c r="L183" i="2" s="1"/>
  <c r="D183" i="2"/>
  <c r="G181" i="2"/>
  <c r="B184" i="2"/>
  <c r="K180" i="1"/>
  <c r="N180" i="1" s="1"/>
  <c r="M179" i="1"/>
  <c r="J181" i="1"/>
  <c r="F181" i="1"/>
  <c r="G181" i="1"/>
  <c r="H182" i="1"/>
  <c r="D182" i="1"/>
  <c r="B184" i="1"/>
  <c r="C183" i="1"/>
  <c r="O104" i="2" l="1"/>
  <c r="P102" i="2"/>
  <c r="M182" i="2"/>
  <c r="F183" i="2"/>
  <c r="K183" i="2"/>
  <c r="C184" i="2"/>
  <c r="E184" i="2" s="1"/>
  <c r="L184" i="2" s="1"/>
  <c r="D184" i="2"/>
  <c r="B185" i="2"/>
  <c r="G182" i="2"/>
  <c r="K181" i="1"/>
  <c r="N181" i="1" s="1"/>
  <c r="M180" i="1"/>
  <c r="F182" i="1"/>
  <c r="G182" i="1"/>
  <c r="J182" i="1"/>
  <c r="H183" i="1"/>
  <c r="D183" i="1"/>
  <c r="B185" i="1"/>
  <c r="C184" i="1"/>
  <c r="O105" i="2" l="1"/>
  <c r="P103" i="2"/>
  <c r="M183" i="2"/>
  <c r="F184" i="2"/>
  <c r="K184" i="2"/>
  <c r="C185" i="2"/>
  <c r="E185" i="2" s="1"/>
  <c r="L185" i="2" s="1"/>
  <c r="D185" i="2"/>
  <c r="B186" i="2"/>
  <c r="G183" i="2"/>
  <c r="M181" i="1"/>
  <c r="K182" i="1"/>
  <c r="N182" i="1" s="1"/>
  <c r="F183" i="1"/>
  <c r="G183" i="1"/>
  <c r="J183" i="1"/>
  <c r="H184" i="1"/>
  <c r="D184" i="1"/>
  <c r="B186" i="1"/>
  <c r="C185" i="1"/>
  <c r="P104" i="2" l="1"/>
  <c r="O106" i="2"/>
  <c r="M184" i="2"/>
  <c r="F185" i="2"/>
  <c r="K185" i="2"/>
  <c r="C186" i="2"/>
  <c r="E186" i="2" s="1"/>
  <c r="L186" i="2" s="1"/>
  <c r="D186" i="2"/>
  <c r="G184" i="2"/>
  <c r="B187" i="2"/>
  <c r="K183" i="1"/>
  <c r="N183" i="1" s="1"/>
  <c r="M182" i="1"/>
  <c r="F184" i="1"/>
  <c r="G184" i="1"/>
  <c r="J184" i="1"/>
  <c r="H185" i="1"/>
  <c r="D185" i="1"/>
  <c r="G185" i="1" s="1"/>
  <c r="B187" i="1"/>
  <c r="C186" i="1"/>
  <c r="O107" i="2" l="1"/>
  <c r="P105" i="2"/>
  <c r="M185" i="2"/>
  <c r="F186" i="2"/>
  <c r="K186" i="2"/>
  <c r="C187" i="2"/>
  <c r="E187" i="2" s="1"/>
  <c r="L187" i="2" s="1"/>
  <c r="D187" i="2"/>
  <c r="G185" i="2"/>
  <c r="B188" i="2"/>
  <c r="K184" i="1"/>
  <c r="N184" i="1" s="1"/>
  <c r="M183" i="1"/>
  <c r="J185" i="1"/>
  <c r="H186" i="1"/>
  <c r="D186" i="1"/>
  <c r="F185" i="1"/>
  <c r="B188" i="1"/>
  <c r="C187" i="1"/>
  <c r="O108" i="2" l="1"/>
  <c r="P106" i="2"/>
  <c r="M186" i="2"/>
  <c r="F187" i="2"/>
  <c r="K187" i="2"/>
  <c r="C188" i="2"/>
  <c r="E188" i="2" s="1"/>
  <c r="L188" i="2" s="1"/>
  <c r="D188" i="2"/>
  <c r="G186" i="2"/>
  <c r="B189" i="2"/>
  <c r="K185" i="1"/>
  <c r="N185" i="1" s="1"/>
  <c r="M184" i="1"/>
  <c r="J186" i="1"/>
  <c r="F186" i="1"/>
  <c r="G186" i="1"/>
  <c r="H187" i="1"/>
  <c r="D187" i="1"/>
  <c r="B189" i="1"/>
  <c r="C188" i="1"/>
  <c r="O109" i="2" l="1"/>
  <c r="P107" i="2"/>
  <c r="M187" i="2"/>
  <c r="F188" i="2"/>
  <c r="K188" i="2"/>
  <c r="C189" i="2"/>
  <c r="E189" i="2" s="1"/>
  <c r="L189" i="2" s="1"/>
  <c r="D189" i="2"/>
  <c r="G187" i="2"/>
  <c r="B190" i="2"/>
  <c r="M185" i="1"/>
  <c r="K186" i="1"/>
  <c r="N186" i="1" s="1"/>
  <c r="F187" i="1"/>
  <c r="G187" i="1"/>
  <c r="J187" i="1"/>
  <c r="H188" i="1"/>
  <c r="D188" i="1"/>
  <c r="B190" i="1"/>
  <c r="C189" i="1"/>
  <c r="O110" i="2" l="1"/>
  <c r="P108" i="2"/>
  <c r="M188" i="2"/>
  <c r="F189" i="2"/>
  <c r="K189" i="2"/>
  <c r="C190" i="2"/>
  <c r="E190" i="2" s="1"/>
  <c r="L190" i="2" s="1"/>
  <c r="D190" i="2"/>
  <c r="G188" i="2"/>
  <c r="B191" i="2"/>
  <c r="K187" i="1"/>
  <c r="N187" i="1" s="1"/>
  <c r="M186" i="1"/>
  <c r="F188" i="1"/>
  <c r="G188" i="1"/>
  <c r="J188" i="1"/>
  <c r="D189" i="1"/>
  <c r="G189" i="1" s="1"/>
  <c r="H189" i="1"/>
  <c r="B191" i="1"/>
  <c r="C190" i="1"/>
  <c r="P109" i="2" l="1"/>
  <c r="O111" i="2"/>
  <c r="M189" i="2"/>
  <c r="F190" i="2"/>
  <c r="K190" i="2"/>
  <c r="C191" i="2"/>
  <c r="E191" i="2" s="1"/>
  <c r="L191" i="2" s="1"/>
  <c r="D191" i="2"/>
  <c r="B192" i="2"/>
  <c r="G189" i="2"/>
  <c r="M187" i="1"/>
  <c r="K188" i="1"/>
  <c r="N188" i="1" s="1"/>
  <c r="J189" i="1"/>
  <c r="D190" i="1"/>
  <c r="G190" i="1" s="1"/>
  <c r="H190" i="1"/>
  <c r="F189" i="1"/>
  <c r="B192" i="1"/>
  <c r="C191" i="1"/>
  <c r="O112" i="2" l="1"/>
  <c r="P110" i="2"/>
  <c r="M190" i="2"/>
  <c r="F191" i="2"/>
  <c r="K191" i="2"/>
  <c r="C192" i="2"/>
  <c r="E192" i="2" s="1"/>
  <c r="L192" i="2" s="1"/>
  <c r="D192" i="2"/>
  <c r="B193" i="2"/>
  <c r="G190" i="2"/>
  <c r="K189" i="1"/>
  <c r="N189" i="1" s="1"/>
  <c r="M188" i="1"/>
  <c r="J190" i="1"/>
  <c r="H191" i="1"/>
  <c r="D191" i="1"/>
  <c r="F190" i="1"/>
  <c r="B193" i="1"/>
  <c r="C192" i="1"/>
  <c r="P111" i="2" l="1"/>
  <c r="O113" i="2"/>
  <c r="M191" i="2"/>
  <c r="F192" i="2"/>
  <c r="K192" i="2"/>
  <c r="C193" i="2"/>
  <c r="E193" i="2" s="1"/>
  <c r="L193" i="2" s="1"/>
  <c r="D193" i="2"/>
  <c r="G191" i="2"/>
  <c r="B194" i="2"/>
  <c r="K190" i="1"/>
  <c r="N190" i="1" s="1"/>
  <c r="M189" i="1"/>
  <c r="F191" i="1"/>
  <c r="G191" i="1"/>
  <c r="J191" i="1"/>
  <c r="H192" i="1"/>
  <c r="D192" i="1"/>
  <c r="B194" i="1"/>
  <c r="C193" i="1"/>
  <c r="O114" i="2" l="1"/>
  <c r="P112" i="2"/>
  <c r="M192" i="2"/>
  <c r="F193" i="2"/>
  <c r="K193" i="2"/>
  <c r="C194" i="2"/>
  <c r="E194" i="2" s="1"/>
  <c r="L194" i="2" s="1"/>
  <c r="D194" i="2"/>
  <c r="B195" i="2"/>
  <c r="G192" i="2"/>
  <c r="M190" i="1"/>
  <c r="K191" i="1"/>
  <c r="N191" i="1" s="1"/>
  <c r="J192" i="1"/>
  <c r="F192" i="1"/>
  <c r="G192" i="1"/>
  <c r="H193" i="1"/>
  <c r="D193" i="1"/>
  <c r="B195" i="1"/>
  <c r="C194" i="1"/>
  <c r="O115" i="2" l="1"/>
  <c r="P113" i="2"/>
  <c r="M193" i="2"/>
  <c r="F194" i="2"/>
  <c r="K194" i="2"/>
  <c r="C195" i="2"/>
  <c r="E195" i="2" s="1"/>
  <c r="L195" i="2" s="1"/>
  <c r="D195" i="2"/>
  <c r="B196" i="2"/>
  <c r="G193" i="2"/>
  <c r="K192" i="1"/>
  <c r="N192" i="1" s="1"/>
  <c r="M191" i="1"/>
  <c r="F193" i="1"/>
  <c r="G193" i="1"/>
  <c r="J193" i="1"/>
  <c r="D194" i="1"/>
  <c r="G194" i="1" s="1"/>
  <c r="H194" i="1"/>
  <c r="B196" i="1"/>
  <c r="C195" i="1"/>
  <c r="O116" i="2" l="1"/>
  <c r="P114" i="2"/>
  <c r="M194" i="2"/>
  <c r="F195" i="2"/>
  <c r="K195" i="2"/>
  <c r="C196" i="2"/>
  <c r="E196" i="2" s="1"/>
  <c r="L196" i="2" s="1"/>
  <c r="D196" i="2"/>
  <c r="G194" i="2"/>
  <c r="B197" i="2"/>
  <c r="K193" i="1"/>
  <c r="N193" i="1" s="1"/>
  <c r="M192" i="1"/>
  <c r="J194" i="1"/>
  <c r="H195" i="1"/>
  <c r="D195" i="1"/>
  <c r="F194" i="1"/>
  <c r="B197" i="1"/>
  <c r="C196" i="1"/>
  <c r="O117" i="2" l="1"/>
  <c r="P115" i="2"/>
  <c r="M195" i="2"/>
  <c r="F196" i="2"/>
  <c r="K196" i="2"/>
  <c r="C197" i="2"/>
  <c r="E197" i="2" s="1"/>
  <c r="L197" i="2" s="1"/>
  <c r="D197" i="2"/>
  <c r="G195" i="2"/>
  <c r="B198" i="2"/>
  <c r="M193" i="1"/>
  <c r="K194" i="1"/>
  <c r="N194" i="1" s="1"/>
  <c r="F195" i="1"/>
  <c r="G195" i="1"/>
  <c r="J195" i="1"/>
  <c r="H196" i="1"/>
  <c r="D196" i="1"/>
  <c r="B198" i="1"/>
  <c r="C197" i="1"/>
  <c r="P116" i="2" l="1"/>
  <c r="O118" i="2"/>
  <c r="M196" i="2"/>
  <c r="F197" i="2"/>
  <c r="K197" i="2"/>
  <c r="C198" i="2"/>
  <c r="E198" i="2" s="1"/>
  <c r="L198" i="2" s="1"/>
  <c r="D198" i="2"/>
  <c r="G196" i="2"/>
  <c r="B199" i="2"/>
  <c r="K195" i="1"/>
  <c r="N195" i="1" s="1"/>
  <c r="M194" i="1"/>
  <c r="F196" i="1"/>
  <c r="G196" i="1"/>
  <c r="J196" i="1"/>
  <c r="D197" i="1"/>
  <c r="G197" i="1" s="1"/>
  <c r="H197" i="1"/>
  <c r="B199" i="1"/>
  <c r="C198" i="1"/>
  <c r="P117" i="2" l="1"/>
  <c r="O119" i="2"/>
  <c r="M197" i="2"/>
  <c r="F198" i="2"/>
  <c r="K198" i="2"/>
  <c r="C199" i="2"/>
  <c r="E199" i="2" s="1"/>
  <c r="L199" i="2" s="1"/>
  <c r="D199" i="2"/>
  <c r="G197" i="2"/>
  <c r="B200" i="2"/>
  <c r="K196" i="1"/>
  <c r="N196" i="1" s="1"/>
  <c r="M195" i="1"/>
  <c r="J197" i="1"/>
  <c r="D198" i="1"/>
  <c r="G198" i="1" s="1"/>
  <c r="H198" i="1"/>
  <c r="F197" i="1"/>
  <c r="B200" i="1"/>
  <c r="C199" i="1"/>
  <c r="O120" i="2" l="1"/>
  <c r="P118" i="2"/>
  <c r="M198" i="2"/>
  <c r="F199" i="2"/>
  <c r="K199" i="2"/>
  <c r="C200" i="2"/>
  <c r="E200" i="2" s="1"/>
  <c r="L200" i="2" s="1"/>
  <c r="D200" i="2"/>
  <c r="B201" i="2"/>
  <c r="G198" i="2"/>
  <c r="K197" i="1"/>
  <c r="N197" i="1" s="1"/>
  <c r="M197" i="1"/>
  <c r="M196" i="1"/>
  <c r="J198" i="1"/>
  <c r="H199" i="1"/>
  <c r="D199" i="1"/>
  <c r="F198" i="1"/>
  <c r="B201" i="1"/>
  <c r="C200" i="1"/>
  <c r="O121" i="2" l="1"/>
  <c r="P119" i="2"/>
  <c r="M199" i="2"/>
  <c r="F200" i="2"/>
  <c r="K200" i="2"/>
  <c r="C201" i="2"/>
  <c r="E201" i="2" s="1"/>
  <c r="L201" i="2" s="1"/>
  <c r="D201" i="2"/>
  <c r="G199" i="2"/>
  <c r="B202" i="2"/>
  <c r="K198" i="1"/>
  <c r="N198" i="1" s="1"/>
  <c r="J199" i="1"/>
  <c r="F199" i="1"/>
  <c r="G199" i="1"/>
  <c r="D200" i="1"/>
  <c r="G200" i="1" s="1"/>
  <c r="H200" i="1"/>
  <c r="B202" i="1"/>
  <c r="C201" i="1"/>
  <c r="O122" i="2" l="1"/>
  <c r="P120" i="2"/>
  <c r="M200" i="2"/>
  <c r="F201" i="2"/>
  <c r="K201" i="2"/>
  <c r="C202" i="2"/>
  <c r="E202" i="2" s="1"/>
  <c r="L202" i="2" s="1"/>
  <c r="D202" i="2"/>
  <c r="G200" i="2"/>
  <c r="B203" i="2"/>
  <c r="M198" i="1"/>
  <c r="K199" i="1"/>
  <c r="N199" i="1" s="1"/>
  <c r="J200" i="1"/>
  <c r="H201" i="1"/>
  <c r="D201" i="1"/>
  <c r="F200" i="1"/>
  <c r="B203" i="1"/>
  <c r="C202" i="1"/>
  <c r="O123" i="2" l="1"/>
  <c r="P121" i="2"/>
  <c r="M201" i="2"/>
  <c r="F202" i="2"/>
  <c r="K202" i="2"/>
  <c r="C203" i="2"/>
  <c r="E203" i="2" s="1"/>
  <c r="L203" i="2" s="1"/>
  <c r="D203" i="2"/>
  <c r="B204" i="2"/>
  <c r="G201" i="2"/>
  <c r="K200" i="1"/>
  <c r="N200" i="1" s="1"/>
  <c r="M199" i="1"/>
  <c r="F201" i="1"/>
  <c r="G201" i="1"/>
  <c r="J201" i="1"/>
  <c r="H202" i="1"/>
  <c r="D202" i="1"/>
  <c r="B204" i="1"/>
  <c r="C203" i="1"/>
  <c r="O124" i="2" l="1"/>
  <c r="P122" i="2"/>
  <c r="M202" i="2"/>
  <c r="F203" i="2"/>
  <c r="K203" i="2"/>
  <c r="C204" i="2"/>
  <c r="E204" i="2" s="1"/>
  <c r="L204" i="2" s="1"/>
  <c r="D204" i="2"/>
  <c r="G202" i="2"/>
  <c r="B205" i="2"/>
  <c r="M200" i="1"/>
  <c r="K201" i="1"/>
  <c r="N201" i="1" s="1"/>
  <c r="F202" i="1"/>
  <c r="G202" i="1"/>
  <c r="J202" i="1"/>
  <c r="H203" i="1"/>
  <c r="D203" i="1"/>
  <c r="B205" i="1"/>
  <c r="C204" i="1"/>
  <c r="P123" i="2" l="1"/>
  <c r="O125" i="2"/>
  <c r="M203" i="2"/>
  <c r="F204" i="2"/>
  <c r="K204" i="2"/>
  <c r="C205" i="2"/>
  <c r="E205" i="2" s="1"/>
  <c r="L205" i="2" s="1"/>
  <c r="D205" i="2"/>
  <c r="G203" i="2"/>
  <c r="B206" i="2"/>
  <c r="K202" i="1"/>
  <c r="N202" i="1" s="1"/>
  <c r="M201" i="1"/>
  <c r="J203" i="1"/>
  <c r="F203" i="1"/>
  <c r="G203" i="1"/>
  <c r="H204" i="1"/>
  <c r="D204" i="1"/>
  <c r="B206" i="1"/>
  <c r="C205" i="1"/>
  <c r="P124" i="2" l="1"/>
  <c r="O126" i="2"/>
  <c r="M204" i="2"/>
  <c r="F205" i="2"/>
  <c r="K205" i="2"/>
  <c r="C206" i="2"/>
  <c r="E206" i="2" s="1"/>
  <c r="L206" i="2" s="1"/>
  <c r="D206" i="2"/>
  <c r="G204" i="2"/>
  <c r="B207" i="2"/>
  <c r="M202" i="1"/>
  <c r="K203" i="1"/>
  <c r="N203" i="1" s="1"/>
  <c r="F204" i="1"/>
  <c r="G204" i="1"/>
  <c r="J204" i="1"/>
  <c r="D205" i="1"/>
  <c r="G205" i="1" s="1"/>
  <c r="H205" i="1"/>
  <c r="B207" i="1"/>
  <c r="C206" i="1"/>
  <c r="O127" i="2" l="1"/>
  <c r="P125" i="2"/>
  <c r="M205" i="2"/>
  <c r="F206" i="2"/>
  <c r="K206" i="2"/>
  <c r="C207" i="2"/>
  <c r="E207" i="2" s="1"/>
  <c r="L207" i="2" s="1"/>
  <c r="D207" i="2"/>
  <c r="B208" i="2"/>
  <c r="G205" i="2"/>
  <c r="M203" i="1"/>
  <c r="K204" i="1"/>
  <c r="N204" i="1" s="1"/>
  <c r="J205" i="1"/>
  <c r="H206" i="1"/>
  <c r="D206" i="1"/>
  <c r="F205" i="1"/>
  <c r="B208" i="1"/>
  <c r="C207" i="1"/>
  <c r="O128" i="2" l="1"/>
  <c r="P126" i="2"/>
  <c r="M206" i="2"/>
  <c r="F207" i="2"/>
  <c r="K207" i="2"/>
  <c r="C208" i="2"/>
  <c r="E208" i="2" s="1"/>
  <c r="L208" i="2" s="1"/>
  <c r="D208" i="2"/>
  <c r="B209" i="2"/>
  <c r="G206" i="2"/>
  <c r="K205" i="1"/>
  <c r="N205" i="1" s="1"/>
  <c r="M204" i="1"/>
  <c r="F206" i="1"/>
  <c r="G206" i="1"/>
  <c r="J206" i="1"/>
  <c r="H207" i="1"/>
  <c r="D207" i="1"/>
  <c r="B209" i="1"/>
  <c r="C208" i="1"/>
  <c r="O129" i="2" l="1"/>
  <c r="P127" i="2"/>
  <c r="M207" i="2"/>
  <c r="F208" i="2"/>
  <c r="K208" i="2"/>
  <c r="C209" i="2"/>
  <c r="E209" i="2" s="1"/>
  <c r="L209" i="2" s="1"/>
  <c r="D209" i="2"/>
  <c r="G207" i="2"/>
  <c r="B210" i="2"/>
  <c r="K206" i="1"/>
  <c r="N206" i="1" s="1"/>
  <c r="M205" i="1"/>
  <c r="J207" i="1"/>
  <c r="F207" i="1"/>
  <c r="G207" i="1"/>
  <c r="H208" i="1"/>
  <c r="D208" i="1"/>
  <c r="B210" i="1"/>
  <c r="C209" i="1"/>
  <c r="O130" i="2" l="1"/>
  <c r="P128" i="2"/>
  <c r="M208" i="2"/>
  <c r="F209" i="2"/>
  <c r="K209" i="2"/>
  <c r="C210" i="2"/>
  <c r="E210" i="2" s="1"/>
  <c r="L210" i="2" s="1"/>
  <c r="D210" i="2"/>
  <c r="G208" i="2"/>
  <c r="B211" i="2"/>
  <c r="K207" i="1"/>
  <c r="N207" i="1" s="1"/>
  <c r="M206" i="1"/>
  <c r="M207" i="1"/>
  <c r="F208" i="1"/>
  <c r="G208" i="1"/>
  <c r="J208" i="1"/>
  <c r="D209" i="1"/>
  <c r="G209" i="1" s="1"/>
  <c r="H209" i="1"/>
  <c r="B211" i="1"/>
  <c r="C210" i="1"/>
  <c r="O131" i="2" l="1"/>
  <c r="P129" i="2"/>
  <c r="M209" i="2"/>
  <c r="F210" i="2"/>
  <c r="K210" i="2"/>
  <c r="C211" i="2"/>
  <c r="E211" i="2" s="1"/>
  <c r="L211" i="2" s="1"/>
  <c r="D211" i="2"/>
  <c r="G209" i="2"/>
  <c r="B212" i="2"/>
  <c r="K208" i="1"/>
  <c r="N208" i="1" s="1"/>
  <c r="J209" i="1"/>
  <c r="H210" i="1"/>
  <c r="D210" i="1"/>
  <c r="F209" i="1"/>
  <c r="B212" i="1"/>
  <c r="C211" i="1"/>
  <c r="P130" i="2" l="1"/>
  <c r="O132" i="2"/>
  <c r="M210" i="2"/>
  <c r="F211" i="2"/>
  <c r="K211" i="2"/>
  <c r="C212" i="2"/>
  <c r="E212" i="2" s="1"/>
  <c r="L212" i="2" s="1"/>
  <c r="D212" i="2"/>
  <c r="G210" i="2"/>
  <c r="B213" i="2"/>
  <c r="K209" i="1"/>
  <c r="N209" i="1" s="1"/>
  <c r="M208" i="1"/>
  <c r="F210" i="1"/>
  <c r="G210" i="1"/>
  <c r="J210" i="1"/>
  <c r="H211" i="1"/>
  <c r="D211" i="1"/>
  <c r="B213" i="1"/>
  <c r="C212" i="1"/>
  <c r="P131" i="2" l="1"/>
  <c r="O133" i="2"/>
  <c r="M211" i="2"/>
  <c r="F212" i="2"/>
  <c r="K212" i="2"/>
  <c r="C213" i="2"/>
  <c r="E213" i="2" s="1"/>
  <c r="L213" i="2" s="1"/>
  <c r="D213" i="2"/>
  <c r="G211" i="2"/>
  <c r="B214" i="2"/>
  <c r="K210" i="1"/>
  <c r="N210" i="1" s="1"/>
  <c r="M209" i="1"/>
  <c r="F211" i="1"/>
  <c r="G211" i="1"/>
  <c r="J211" i="1"/>
  <c r="H212" i="1"/>
  <c r="D212" i="1"/>
  <c r="B214" i="1"/>
  <c r="C213" i="1"/>
  <c r="O134" i="2" l="1"/>
  <c r="P132" i="2"/>
  <c r="M212" i="2"/>
  <c r="F213" i="2"/>
  <c r="K213" i="2"/>
  <c r="C214" i="2"/>
  <c r="E214" i="2" s="1"/>
  <c r="L214" i="2" s="1"/>
  <c r="D214" i="2"/>
  <c r="B215" i="2"/>
  <c r="G212" i="2"/>
  <c r="K211" i="1"/>
  <c r="N211" i="1" s="1"/>
  <c r="M210" i="1"/>
  <c r="J212" i="1"/>
  <c r="F212" i="1"/>
  <c r="G212" i="1"/>
  <c r="H213" i="1"/>
  <c r="D213" i="1"/>
  <c r="B215" i="1"/>
  <c r="C214" i="1"/>
  <c r="O135" i="2" l="1"/>
  <c r="P133" i="2"/>
  <c r="M213" i="2"/>
  <c r="F214" i="2"/>
  <c r="K214" i="2"/>
  <c r="C215" i="2"/>
  <c r="E215" i="2" s="1"/>
  <c r="L215" i="2" s="1"/>
  <c r="D215" i="2"/>
  <c r="G213" i="2"/>
  <c r="B216" i="2"/>
  <c r="K212" i="1"/>
  <c r="N212" i="1" s="1"/>
  <c r="M212" i="1"/>
  <c r="M211" i="1"/>
  <c r="F213" i="1"/>
  <c r="G213" i="1"/>
  <c r="J213" i="1"/>
  <c r="H214" i="1"/>
  <c r="D214" i="1"/>
  <c r="B216" i="1"/>
  <c r="C215" i="1"/>
  <c r="P134" i="2" l="1"/>
  <c r="O136" i="2"/>
  <c r="M214" i="2"/>
  <c r="F215" i="2"/>
  <c r="K215" i="2"/>
  <c r="C216" i="2"/>
  <c r="E216" i="2" s="1"/>
  <c r="L216" i="2" s="1"/>
  <c r="D216" i="2"/>
  <c r="B217" i="2"/>
  <c r="G214" i="2"/>
  <c r="K213" i="1"/>
  <c r="N213" i="1" s="1"/>
  <c r="M213" i="1"/>
  <c r="J214" i="1"/>
  <c r="F214" i="1"/>
  <c r="G214" i="1"/>
  <c r="H215" i="1"/>
  <c r="D215" i="1"/>
  <c r="B217" i="1"/>
  <c r="C216" i="1"/>
  <c r="O137" i="2" l="1"/>
  <c r="P135" i="2"/>
  <c r="M215" i="2"/>
  <c r="F216" i="2"/>
  <c r="K216" i="2"/>
  <c r="C217" i="2"/>
  <c r="E217" i="2" s="1"/>
  <c r="L217" i="2" s="1"/>
  <c r="D217" i="2"/>
  <c r="G215" i="2"/>
  <c r="B218" i="2"/>
  <c r="K214" i="1"/>
  <c r="N214" i="1" s="1"/>
  <c r="F215" i="1"/>
  <c r="G215" i="1"/>
  <c r="J215" i="1"/>
  <c r="D216" i="1"/>
  <c r="G216" i="1" s="1"/>
  <c r="H216" i="1"/>
  <c r="B218" i="1"/>
  <c r="C217" i="1"/>
  <c r="O138" i="2" l="1"/>
  <c r="P136" i="2"/>
  <c r="M216" i="2"/>
  <c r="F217" i="2"/>
  <c r="K217" i="2"/>
  <c r="C218" i="2"/>
  <c r="E218" i="2" s="1"/>
  <c r="L218" i="2" s="1"/>
  <c r="D218" i="2"/>
  <c r="G216" i="2"/>
  <c r="B219" i="2"/>
  <c r="K215" i="1"/>
  <c r="N215" i="1" s="1"/>
  <c r="M214" i="1"/>
  <c r="J216" i="1"/>
  <c r="D217" i="1"/>
  <c r="G217" i="1" s="1"/>
  <c r="H217" i="1"/>
  <c r="F216" i="1"/>
  <c r="B219" i="1"/>
  <c r="C218" i="1"/>
  <c r="P137" i="2" l="1"/>
  <c r="O139" i="2"/>
  <c r="M217" i="2"/>
  <c r="F218" i="2"/>
  <c r="K218" i="2"/>
  <c r="C219" i="2"/>
  <c r="E219" i="2" s="1"/>
  <c r="L219" i="2" s="1"/>
  <c r="D219" i="2"/>
  <c r="G217" i="2"/>
  <c r="B220" i="2"/>
  <c r="K216" i="1"/>
  <c r="N216" i="1" s="1"/>
  <c r="M215" i="1"/>
  <c r="J217" i="1"/>
  <c r="H218" i="1"/>
  <c r="D218" i="1"/>
  <c r="F217" i="1"/>
  <c r="B220" i="1"/>
  <c r="C219" i="1"/>
  <c r="P138" i="2" l="1"/>
  <c r="O140" i="2"/>
  <c r="M218" i="2"/>
  <c r="F219" i="2"/>
  <c r="K219" i="2"/>
  <c r="C220" i="2"/>
  <c r="E220" i="2" s="1"/>
  <c r="L220" i="2" s="1"/>
  <c r="D220" i="2"/>
  <c r="G218" i="2"/>
  <c r="B221" i="2"/>
  <c r="M216" i="1"/>
  <c r="K217" i="1"/>
  <c r="N217" i="1" s="1"/>
  <c r="J218" i="1"/>
  <c r="F218" i="1"/>
  <c r="G218" i="1"/>
  <c r="D219" i="1"/>
  <c r="G219" i="1" s="1"/>
  <c r="H219" i="1"/>
  <c r="B221" i="1"/>
  <c r="C220" i="1"/>
  <c r="P139" i="2" l="1"/>
  <c r="O141" i="2"/>
  <c r="M219" i="2"/>
  <c r="F220" i="2"/>
  <c r="K220" i="2"/>
  <c r="C221" i="2"/>
  <c r="E221" i="2" s="1"/>
  <c r="L221" i="2" s="1"/>
  <c r="D221" i="2"/>
  <c r="G219" i="2"/>
  <c r="B222" i="2"/>
  <c r="M217" i="1"/>
  <c r="K218" i="1"/>
  <c r="N218" i="1" s="1"/>
  <c r="J219" i="1"/>
  <c r="H220" i="1"/>
  <c r="D220" i="1"/>
  <c r="F219" i="1"/>
  <c r="B222" i="1"/>
  <c r="C221" i="1"/>
  <c r="O142" i="2" l="1"/>
  <c r="P140" i="2"/>
  <c r="M220" i="2"/>
  <c r="F221" i="2"/>
  <c r="K221" i="2"/>
  <c r="C222" i="2"/>
  <c r="E222" i="2" s="1"/>
  <c r="L222" i="2" s="1"/>
  <c r="D222" i="2"/>
  <c r="G220" i="2"/>
  <c r="B223" i="2"/>
  <c r="M218" i="1"/>
  <c r="K219" i="1"/>
  <c r="N219" i="1" s="1"/>
  <c r="J220" i="1"/>
  <c r="F220" i="1"/>
  <c r="G220" i="1"/>
  <c r="D221" i="1"/>
  <c r="G221" i="1" s="1"/>
  <c r="H221" i="1"/>
  <c r="B223" i="1"/>
  <c r="C222" i="1"/>
  <c r="O143" i="2" l="1"/>
  <c r="P141" i="2"/>
  <c r="M221" i="2"/>
  <c r="F222" i="2"/>
  <c r="K222" i="2"/>
  <c r="C223" i="2"/>
  <c r="E223" i="2" s="1"/>
  <c r="L223" i="2" s="1"/>
  <c r="D223" i="2"/>
  <c r="B224" i="2"/>
  <c r="G221" i="2"/>
  <c r="K220" i="1"/>
  <c r="N220" i="1" s="1"/>
  <c r="M219" i="1"/>
  <c r="J221" i="1"/>
  <c r="D222" i="1"/>
  <c r="G222" i="1" s="1"/>
  <c r="H222" i="1"/>
  <c r="F221" i="1"/>
  <c r="B224" i="1"/>
  <c r="C223" i="1"/>
  <c r="O144" i="2" l="1"/>
  <c r="P142" i="2"/>
  <c r="M222" i="2"/>
  <c r="F223" i="2"/>
  <c r="K223" i="2"/>
  <c r="C224" i="2"/>
  <c r="E224" i="2" s="1"/>
  <c r="L224" i="2" s="1"/>
  <c r="D224" i="2"/>
  <c r="G222" i="2"/>
  <c r="B225" i="2"/>
  <c r="M220" i="1"/>
  <c r="K221" i="1"/>
  <c r="N221" i="1" s="1"/>
  <c r="J222" i="1"/>
  <c r="H223" i="1"/>
  <c r="D223" i="1"/>
  <c r="F222" i="1"/>
  <c r="B225" i="1"/>
  <c r="C224" i="1"/>
  <c r="O145" i="2" l="1"/>
  <c r="P143" i="2"/>
  <c r="M223" i="2"/>
  <c r="F224" i="2"/>
  <c r="K224" i="2"/>
  <c r="C225" i="2"/>
  <c r="E225" i="2" s="1"/>
  <c r="L225" i="2" s="1"/>
  <c r="D225" i="2"/>
  <c r="B226" i="2"/>
  <c r="G223" i="2"/>
  <c r="K222" i="1"/>
  <c r="N222" i="1" s="1"/>
  <c r="M221" i="1"/>
  <c r="J223" i="1"/>
  <c r="F223" i="1"/>
  <c r="G223" i="1"/>
  <c r="H224" i="1"/>
  <c r="D224" i="1"/>
  <c r="B226" i="1"/>
  <c r="C225" i="1"/>
  <c r="P144" i="2" l="1"/>
  <c r="O146" i="2"/>
  <c r="M224" i="2"/>
  <c r="F225" i="2"/>
  <c r="K225" i="2"/>
  <c r="C226" i="2"/>
  <c r="E226" i="2" s="1"/>
  <c r="L226" i="2" s="1"/>
  <c r="D226" i="2"/>
  <c r="B227" i="2"/>
  <c r="G224" i="2"/>
  <c r="M222" i="1"/>
  <c r="K223" i="1"/>
  <c r="N223" i="1" s="1"/>
  <c r="J224" i="1"/>
  <c r="F224" i="1"/>
  <c r="G224" i="1"/>
  <c r="H225" i="1"/>
  <c r="D225" i="1"/>
  <c r="B227" i="1"/>
  <c r="C226" i="1"/>
  <c r="O147" i="2" l="1"/>
  <c r="P145" i="2"/>
  <c r="M225" i="2"/>
  <c r="F226" i="2"/>
  <c r="K226" i="2"/>
  <c r="C227" i="2"/>
  <c r="E227" i="2" s="1"/>
  <c r="L227" i="2" s="1"/>
  <c r="O148" i="2" s="1"/>
  <c r="D227" i="2"/>
  <c r="G225" i="2"/>
  <c r="B228" i="2"/>
  <c r="K224" i="1"/>
  <c r="N224" i="1" s="1"/>
  <c r="M223" i="1"/>
  <c r="J225" i="1"/>
  <c r="F225" i="1"/>
  <c r="G225" i="1"/>
  <c r="D226" i="1"/>
  <c r="G226" i="1" s="1"/>
  <c r="H226" i="1"/>
  <c r="B228" i="1"/>
  <c r="C227" i="1"/>
  <c r="P146" i="2" l="1"/>
  <c r="M226" i="2"/>
  <c r="F227" i="2"/>
  <c r="K227" i="2"/>
  <c r="C228" i="2"/>
  <c r="E228" i="2" s="1"/>
  <c r="L228" i="2" s="1"/>
  <c r="O149" i="2" s="1"/>
  <c r="D228" i="2"/>
  <c r="G226" i="2"/>
  <c r="B229" i="2"/>
  <c r="K225" i="1"/>
  <c r="N225" i="1" s="1"/>
  <c r="M224" i="1"/>
  <c r="J226" i="1"/>
  <c r="H227" i="1"/>
  <c r="D227" i="1"/>
  <c r="F226" i="1"/>
  <c r="B229" i="1"/>
  <c r="C228" i="1"/>
  <c r="P147" i="2" l="1"/>
  <c r="M227" i="2"/>
  <c r="F228" i="2"/>
  <c r="K228" i="2"/>
  <c r="C229" i="2"/>
  <c r="E229" i="2" s="1"/>
  <c r="L229" i="2" s="1"/>
  <c r="O150" i="2" s="1"/>
  <c r="D229" i="2"/>
  <c r="B230" i="2"/>
  <c r="G227" i="2"/>
  <c r="M225" i="1"/>
  <c r="K226" i="1"/>
  <c r="N226" i="1" s="1"/>
  <c r="F227" i="1"/>
  <c r="G227" i="1"/>
  <c r="J227" i="1"/>
  <c r="H228" i="1"/>
  <c r="D228" i="1"/>
  <c r="B230" i="1"/>
  <c r="C229" i="1"/>
  <c r="P148" i="2" l="1"/>
  <c r="M228" i="2"/>
  <c r="F229" i="2"/>
  <c r="K229" i="2"/>
  <c r="C230" i="2"/>
  <c r="E230" i="2" s="1"/>
  <c r="L230" i="2" s="1"/>
  <c r="O151" i="2" s="1"/>
  <c r="D230" i="2"/>
  <c r="G228" i="2"/>
  <c r="B231" i="2"/>
  <c r="M226" i="1"/>
  <c r="K227" i="1"/>
  <c r="N227" i="1" s="1"/>
  <c r="F228" i="1"/>
  <c r="G228" i="1"/>
  <c r="J228" i="1"/>
  <c r="D229" i="1"/>
  <c r="G229" i="1" s="1"/>
  <c r="H229" i="1"/>
  <c r="B231" i="1"/>
  <c r="C230" i="1"/>
  <c r="P149" i="2" l="1"/>
  <c r="M229" i="2"/>
  <c r="F230" i="2"/>
  <c r="K230" i="2"/>
  <c r="C231" i="2"/>
  <c r="E231" i="2" s="1"/>
  <c r="L231" i="2" s="1"/>
  <c r="O152" i="2" s="1"/>
  <c r="D231" i="2"/>
  <c r="G229" i="2"/>
  <c r="B232" i="2"/>
  <c r="M227" i="1"/>
  <c r="K228" i="1"/>
  <c r="N228" i="1" s="1"/>
  <c r="J229" i="1"/>
  <c r="H230" i="1"/>
  <c r="D230" i="1"/>
  <c r="F229" i="1"/>
  <c r="B232" i="1"/>
  <c r="C231" i="1"/>
  <c r="P150" i="2" l="1"/>
  <c r="M230" i="2"/>
  <c r="F231" i="2"/>
  <c r="K231" i="2"/>
  <c r="C232" i="2"/>
  <c r="E232" i="2" s="1"/>
  <c r="L232" i="2" s="1"/>
  <c r="O153" i="2" s="1"/>
  <c r="D232" i="2"/>
  <c r="G230" i="2"/>
  <c r="B233" i="2"/>
  <c r="K229" i="1"/>
  <c r="N229" i="1" s="1"/>
  <c r="M228" i="1"/>
  <c r="F230" i="1"/>
  <c r="G230" i="1"/>
  <c r="J230" i="1"/>
  <c r="H231" i="1"/>
  <c r="D231" i="1"/>
  <c r="B233" i="1"/>
  <c r="C232" i="1"/>
  <c r="P151" i="2" l="1"/>
  <c r="M231" i="2"/>
  <c r="F232" i="2"/>
  <c r="K232" i="2"/>
  <c r="C233" i="2"/>
  <c r="E233" i="2" s="1"/>
  <c r="L233" i="2" s="1"/>
  <c r="O154" i="2" s="1"/>
  <c r="D233" i="2"/>
  <c r="G231" i="2"/>
  <c r="B234" i="2"/>
  <c r="M229" i="1"/>
  <c r="K230" i="1"/>
  <c r="N230" i="1" s="1"/>
  <c r="F231" i="1"/>
  <c r="G231" i="1"/>
  <c r="J231" i="1"/>
  <c r="H232" i="1"/>
  <c r="D232" i="1"/>
  <c r="B234" i="1"/>
  <c r="C233" i="1"/>
  <c r="P152" i="2" l="1"/>
  <c r="M232" i="2"/>
  <c r="F233" i="2"/>
  <c r="K233" i="2"/>
  <c r="C234" i="2"/>
  <c r="E234" i="2" s="1"/>
  <c r="L234" i="2" s="1"/>
  <c r="O155" i="2" s="1"/>
  <c r="D234" i="2"/>
  <c r="G232" i="2"/>
  <c r="B235" i="2"/>
  <c r="K231" i="1"/>
  <c r="N231" i="1" s="1"/>
  <c r="M230" i="1"/>
  <c r="F232" i="1"/>
  <c r="G232" i="1"/>
  <c r="J232" i="1"/>
  <c r="H233" i="1"/>
  <c r="D233" i="1"/>
  <c r="B235" i="1"/>
  <c r="C234" i="1"/>
  <c r="P153" i="2" l="1"/>
  <c r="M233" i="2"/>
  <c r="F234" i="2"/>
  <c r="K234" i="2"/>
  <c r="C235" i="2"/>
  <c r="E235" i="2" s="1"/>
  <c r="L235" i="2" s="1"/>
  <c r="O156" i="2" s="1"/>
  <c r="D235" i="2"/>
  <c r="G233" i="2"/>
  <c r="B236" i="2"/>
  <c r="K232" i="1"/>
  <c r="N232" i="1" s="1"/>
  <c r="M231" i="1"/>
  <c r="J233" i="1"/>
  <c r="F233" i="1"/>
  <c r="G233" i="1"/>
  <c r="H234" i="1"/>
  <c r="D234" i="1"/>
  <c r="B236" i="1"/>
  <c r="C235" i="1"/>
  <c r="P154" i="2" l="1"/>
  <c r="M234" i="2"/>
  <c r="F235" i="2"/>
  <c r="K235" i="2"/>
  <c r="C236" i="2"/>
  <c r="E236" i="2" s="1"/>
  <c r="L236" i="2" s="1"/>
  <c r="O157" i="2" s="1"/>
  <c r="D236" i="2"/>
  <c r="B237" i="2"/>
  <c r="G234" i="2"/>
  <c r="K233" i="1"/>
  <c r="N233" i="1" s="1"/>
  <c r="M233" i="1"/>
  <c r="M232" i="1"/>
  <c r="F234" i="1"/>
  <c r="G234" i="1"/>
  <c r="J234" i="1"/>
  <c r="D235" i="1"/>
  <c r="G235" i="1" s="1"/>
  <c r="H235" i="1"/>
  <c r="B237" i="1"/>
  <c r="C236" i="1"/>
  <c r="P155" i="2" l="1"/>
  <c r="M235" i="2"/>
  <c r="F236" i="2"/>
  <c r="K236" i="2"/>
  <c r="C237" i="2"/>
  <c r="E237" i="2" s="1"/>
  <c r="L237" i="2" s="1"/>
  <c r="O158" i="2" s="1"/>
  <c r="D237" i="2"/>
  <c r="B238" i="2"/>
  <c r="G235" i="2"/>
  <c r="K234" i="1"/>
  <c r="N234" i="1" s="1"/>
  <c r="J235" i="1"/>
  <c r="H236" i="1"/>
  <c r="D236" i="1"/>
  <c r="F235" i="1"/>
  <c r="B238" i="1"/>
  <c r="C237" i="1"/>
  <c r="P156" i="2" l="1"/>
  <c r="M236" i="2"/>
  <c r="F237" i="2"/>
  <c r="K237" i="2"/>
  <c r="C238" i="2"/>
  <c r="E238" i="2" s="1"/>
  <c r="L238" i="2" s="1"/>
  <c r="O159" i="2" s="1"/>
  <c r="D238" i="2"/>
  <c r="G236" i="2"/>
  <c r="B239" i="2"/>
  <c r="K235" i="1"/>
  <c r="N235" i="1" s="1"/>
  <c r="M235" i="1"/>
  <c r="M234" i="1"/>
  <c r="J236" i="1"/>
  <c r="F236" i="1"/>
  <c r="G236" i="1"/>
  <c r="D237" i="1"/>
  <c r="G237" i="1" s="1"/>
  <c r="H237" i="1"/>
  <c r="B239" i="1"/>
  <c r="C238" i="1"/>
  <c r="P157" i="2" l="1"/>
  <c r="M237" i="2"/>
  <c r="F238" i="2"/>
  <c r="K238" i="2"/>
  <c r="C239" i="2"/>
  <c r="E239" i="2" s="1"/>
  <c r="L239" i="2" s="1"/>
  <c r="O160" i="2" s="1"/>
  <c r="D239" i="2"/>
  <c r="B240" i="2"/>
  <c r="G237" i="2"/>
  <c r="K236" i="1"/>
  <c r="N236" i="1" s="1"/>
  <c r="M236" i="1"/>
  <c r="J237" i="1"/>
  <c r="H238" i="1"/>
  <c r="D238" i="1"/>
  <c r="F237" i="1"/>
  <c r="B240" i="1"/>
  <c r="C239" i="1"/>
  <c r="P158" i="2" l="1"/>
  <c r="M238" i="2"/>
  <c r="F239" i="2"/>
  <c r="K239" i="2"/>
  <c r="C240" i="2"/>
  <c r="E240" i="2" s="1"/>
  <c r="L240" i="2" s="1"/>
  <c r="O161" i="2" s="1"/>
  <c r="D240" i="2"/>
  <c r="G238" i="2"/>
  <c r="B241" i="2"/>
  <c r="K237" i="1"/>
  <c r="N237" i="1" s="1"/>
  <c r="J238" i="1"/>
  <c r="F238" i="1"/>
  <c r="G238" i="1"/>
  <c r="H239" i="1"/>
  <c r="D239" i="1"/>
  <c r="B241" i="1"/>
  <c r="C240" i="1"/>
  <c r="P159" i="2" l="1"/>
  <c r="M239" i="2"/>
  <c r="F240" i="2"/>
  <c r="K240" i="2"/>
  <c r="C241" i="2"/>
  <c r="E241" i="2" s="1"/>
  <c r="L241" i="2" s="1"/>
  <c r="O162" i="2" s="1"/>
  <c r="D241" i="2"/>
  <c r="G239" i="2"/>
  <c r="B242" i="2"/>
  <c r="K238" i="1"/>
  <c r="N238" i="1" s="1"/>
  <c r="M237" i="1"/>
  <c r="F239" i="1"/>
  <c r="G239" i="1"/>
  <c r="J239" i="1"/>
  <c r="H240" i="1"/>
  <c r="D240" i="1"/>
  <c r="B242" i="1"/>
  <c r="C241" i="1"/>
  <c r="P160" i="2" l="1"/>
  <c r="M240" i="2"/>
  <c r="F241" i="2"/>
  <c r="K241" i="2"/>
  <c r="C242" i="2"/>
  <c r="E242" i="2" s="1"/>
  <c r="L242" i="2" s="1"/>
  <c r="O163" i="2" s="1"/>
  <c r="D242" i="2"/>
  <c r="B243" i="2"/>
  <c r="G240" i="2"/>
  <c r="K239" i="1"/>
  <c r="N239" i="1" s="1"/>
  <c r="M239" i="1"/>
  <c r="M238" i="1"/>
  <c r="J240" i="1"/>
  <c r="F240" i="1"/>
  <c r="G240" i="1"/>
  <c r="H241" i="1"/>
  <c r="D241" i="1"/>
  <c r="B243" i="1"/>
  <c r="C242" i="1"/>
  <c r="P161" i="2" l="1"/>
  <c r="M241" i="2"/>
  <c r="F242" i="2"/>
  <c r="K242" i="2"/>
  <c r="C243" i="2"/>
  <c r="E243" i="2" s="1"/>
  <c r="L243" i="2" s="1"/>
  <c r="O164" i="2" s="1"/>
  <c r="D243" i="2"/>
  <c r="G241" i="2"/>
  <c r="B244" i="2"/>
  <c r="K240" i="1"/>
  <c r="N240" i="1" s="1"/>
  <c r="F241" i="1"/>
  <c r="G241" i="1"/>
  <c r="J241" i="1"/>
  <c r="H242" i="1"/>
  <c r="D242" i="1"/>
  <c r="B244" i="1"/>
  <c r="C243" i="1"/>
  <c r="P162" i="2" l="1"/>
  <c r="M242" i="2"/>
  <c r="F243" i="2"/>
  <c r="K243" i="2"/>
  <c r="C244" i="2"/>
  <c r="E244" i="2" s="1"/>
  <c r="L244" i="2" s="1"/>
  <c r="O165" i="2" s="1"/>
  <c r="D244" i="2"/>
  <c r="B245" i="2"/>
  <c r="G242" i="2"/>
  <c r="M240" i="1"/>
  <c r="K241" i="1"/>
  <c r="N241" i="1" s="1"/>
  <c r="F242" i="1"/>
  <c r="G242" i="1"/>
  <c r="J242" i="1"/>
  <c r="D243" i="1"/>
  <c r="G243" i="1" s="1"/>
  <c r="H243" i="1"/>
  <c r="B245" i="1"/>
  <c r="C244" i="1"/>
  <c r="P163" i="2" l="1"/>
  <c r="M243" i="2"/>
  <c r="F244" i="2"/>
  <c r="K244" i="2"/>
  <c r="C245" i="2"/>
  <c r="E245" i="2" s="1"/>
  <c r="L245" i="2" s="1"/>
  <c r="O166" i="2" s="1"/>
  <c r="D245" i="2"/>
  <c r="G243" i="2"/>
  <c r="B246" i="2"/>
  <c r="K242" i="1"/>
  <c r="N242" i="1" s="1"/>
  <c r="M241" i="1"/>
  <c r="J243" i="1"/>
  <c r="H244" i="1"/>
  <c r="D244" i="1"/>
  <c r="F243" i="1"/>
  <c r="B246" i="1"/>
  <c r="C245" i="1"/>
  <c r="P164" i="2" l="1"/>
  <c r="M244" i="2"/>
  <c r="F245" i="2"/>
  <c r="K245" i="2"/>
  <c r="C246" i="2"/>
  <c r="E246" i="2" s="1"/>
  <c r="L246" i="2" s="1"/>
  <c r="O167" i="2" s="1"/>
  <c r="D246" i="2"/>
  <c r="G244" i="2"/>
  <c r="B247" i="2"/>
  <c r="K243" i="1"/>
  <c r="N243" i="1" s="1"/>
  <c r="M242" i="1"/>
  <c r="J244" i="1"/>
  <c r="F244" i="1"/>
  <c r="G244" i="1"/>
  <c r="H245" i="1"/>
  <c r="D245" i="1"/>
  <c r="B247" i="1"/>
  <c r="C246" i="1"/>
  <c r="P165" i="2" l="1"/>
  <c r="M245" i="2"/>
  <c r="F246" i="2"/>
  <c r="K246" i="2"/>
  <c r="C247" i="2"/>
  <c r="E247" i="2" s="1"/>
  <c r="L247" i="2" s="1"/>
  <c r="O168" i="2" s="1"/>
  <c r="D247" i="2"/>
  <c r="G245" i="2"/>
  <c r="B248" i="2"/>
  <c r="K244" i="1"/>
  <c r="N244" i="1" s="1"/>
  <c r="M243" i="1"/>
  <c r="F245" i="1"/>
  <c r="G245" i="1"/>
  <c r="J245" i="1"/>
  <c r="D246" i="1"/>
  <c r="G246" i="1" s="1"/>
  <c r="H246" i="1"/>
  <c r="B248" i="1"/>
  <c r="C247" i="1"/>
  <c r="P166" i="2" l="1"/>
  <c r="M246" i="2"/>
  <c r="F247" i="2"/>
  <c r="K247" i="2"/>
  <c r="C248" i="2"/>
  <c r="E248" i="2" s="1"/>
  <c r="L248" i="2" s="1"/>
  <c r="O169" i="2" s="1"/>
  <c r="D248" i="2"/>
  <c r="G246" i="2"/>
  <c r="B249" i="2"/>
  <c r="M244" i="1"/>
  <c r="K245" i="1"/>
  <c r="N245" i="1" s="1"/>
  <c r="J246" i="1"/>
  <c r="H247" i="1"/>
  <c r="D247" i="1"/>
  <c r="F246" i="1"/>
  <c r="B249" i="1"/>
  <c r="C248" i="1"/>
  <c r="P167" i="2" l="1"/>
  <c r="M247" i="2"/>
  <c r="F248" i="2"/>
  <c r="G248" i="2" s="1"/>
  <c r="K248" i="2"/>
  <c r="C249" i="2"/>
  <c r="E249" i="2" s="1"/>
  <c r="L249" i="2" s="1"/>
  <c r="O170" i="2" s="1"/>
  <c r="D249" i="2"/>
  <c r="B250" i="2"/>
  <c r="G247" i="2"/>
  <c r="K246" i="1"/>
  <c r="N246" i="1" s="1"/>
  <c r="M246" i="1"/>
  <c r="M245" i="1"/>
  <c r="J247" i="1"/>
  <c r="F247" i="1"/>
  <c r="G247" i="1"/>
  <c r="D248" i="1"/>
  <c r="G248" i="1" s="1"/>
  <c r="H248" i="1"/>
  <c r="B250" i="1"/>
  <c r="C249" i="1"/>
  <c r="P168" i="2" l="1"/>
  <c r="M248" i="2"/>
  <c r="F249" i="2"/>
  <c r="K249" i="2"/>
  <c r="C250" i="2"/>
  <c r="E250" i="2" s="1"/>
  <c r="L250" i="2" s="1"/>
  <c r="O171" i="2" s="1"/>
  <c r="D250" i="2"/>
  <c r="B251" i="2"/>
  <c r="K247" i="1"/>
  <c r="N247" i="1" s="1"/>
  <c r="J248" i="1"/>
  <c r="H249" i="1"/>
  <c r="D249" i="1"/>
  <c r="F248" i="1"/>
  <c r="B251" i="1"/>
  <c r="C250" i="1"/>
  <c r="P169" i="2" l="1"/>
  <c r="M249" i="2"/>
  <c r="F250" i="2"/>
  <c r="K250" i="2"/>
  <c r="C251" i="2"/>
  <c r="E251" i="2" s="1"/>
  <c r="L251" i="2" s="1"/>
  <c r="O172" i="2" s="1"/>
  <c r="D251" i="2"/>
  <c r="B252" i="2"/>
  <c r="G249" i="2"/>
  <c r="M247" i="1"/>
  <c r="K248" i="1"/>
  <c r="N248" i="1" s="1"/>
  <c r="J249" i="1"/>
  <c r="F249" i="1"/>
  <c r="G249" i="1"/>
  <c r="H250" i="1"/>
  <c r="D250" i="1"/>
  <c r="B252" i="1"/>
  <c r="C251" i="1"/>
  <c r="P170" i="2" l="1"/>
  <c r="M250" i="2"/>
  <c r="F251" i="2"/>
  <c r="K251" i="2"/>
  <c r="C252" i="2"/>
  <c r="E252" i="2" s="1"/>
  <c r="L252" i="2" s="1"/>
  <c r="O173" i="2" s="1"/>
  <c r="D252" i="2"/>
  <c r="G250" i="2"/>
  <c r="B253" i="2"/>
  <c r="M248" i="1"/>
  <c r="K249" i="1"/>
  <c r="N249" i="1" s="1"/>
  <c r="F250" i="1"/>
  <c r="G250" i="1"/>
  <c r="J250" i="1"/>
  <c r="D251" i="1"/>
  <c r="G251" i="1" s="1"/>
  <c r="H251" i="1"/>
  <c r="B253" i="1"/>
  <c r="C252" i="1"/>
  <c r="P171" i="2" l="1"/>
  <c r="M251" i="2"/>
  <c r="F252" i="2"/>
  <c r="K252" i="2"/>
  <c r="C253" i="2"/>
  <c r="E253" i="2" s="1"/>
  <c r="L253" i="2" s="1"/>
  <c r="O174" i="2" s="1"/>
  <c r="D253" i="2"/>
  <c r="G251" i="2"/>
  <c r="B254" i="2"/>
  <c r="M249" i="1"/>
  <c r="K250" i="1"/>
  <c r="N250" i="1" s="1"/>
  <c r="J251" i="1"/>
  <c r="H252" i="1"/>
  <c r="D252" i="1"/>
  <c r="G252" i="1" s="1"/>
  <c r="F251" i="1"/>
  <c r="B254" i="1"/>
  <c r="C253" i="1"/>
  <c r="P172" i="2" l="1"/>
  <c r="M252" i="2"/>
  <c r="F253" i="2"/>
  <c r="K253" i="2"/>
  <c r="C254" i="2"/>
  <c r="E254" i="2" s="1"/>
  <c r="L254" i="2" s="1"/>
  <c r="O175" i="2" s="1"/>
  <c r="D254" i="2"/>
  <c r="G252" i="2"/>
  <c r="B255" i="2"/>
  <c r="K251" i="1"/>
  <c r="N251" i="1" s="1"/>
  <c r="M251" i="1"/>
  <c r="M250" i="1"/>
  <c r="J252" i="1"/>
  <c r="D253" i="1"/>
  <c r="G253" i="1" s="1"/>
  <c r="H253" i="1"/>
  <c r="F252" i="1"/>
  <c r="B255" i="1"/>
  <c r="C254" i="1"/>
  <c r="P173" i="2" l="1"/>
  <c r="M253" i="2"/>
  <c r="F254" i="2"/>
  <c r="K254" i="2"/>
  <c r="C255" i="2"/>
  <c r="E255" i="2" s="1"/>
  <c r="L255" i="2" s="1"/>
  <c r="O176" i="2" s="1"/>
  <c r="D255" i="2"/>
  <c r="G253" i="2"/>
  <c r="B256" i="2"/>
  <c r="K252" i="1"/>
  <c r="N252" i="1" s="1"/>
  <c r="J253" i="1"/>
  <c r="D254" i="1"/>
  <c r="G254" i="1" s="1"/>
  <c r="H254" i="1"/>
  <c r="F253" i="1"/>
  <c r="B256" i="1"/>
  <c r="C255" i="1"/>
  <c r="P174" i="2" l="1"/>
  <c r="M254" i="2"/>
  <c r="F255" i="2"/>
  <c r="K255" i="2"/>
  <c r="C256" i="2"/>
  <c r="E256" i="2" s="1"/>
  <c r="L256" i="2" s="1"/>
  <c r="O177" i="2" s="1"/>
  <c r="D256" i="2"/>
  <c r="B257" i="2"/>
  <c r="G254" i="2"/>
  <c r="K253" i="1"/>
  <c r="N253" i="1" s="1"/>
  <c r="M252" i="1"/>
  <c r="J254" i="1"/>
  <c r="H255" i="1"/>
  <c r="D255" i="1"/>
  <c r="F254" i="1"/>
  <c r="B257" i="1"/>
  <c r="C256" i="1"/>
  <c r="P175" i="2" l="1"/>
  <c r="M255" i="2"/>
  <c r="F256" i="2"/>
  <c r="K256" i="2"/>
  <c r="C257" i="2"/>
  <c r="E257" i="2" s="1"/>
  <c r="L257" i="2" s="1"/>
  <c r="O178" i="2" s="1"/>
  <c r="D257" i="2"/>
  <c r="G255" i="2"/>
  <c r="B258" i="2"/>
  <c r="K254" i="1"/>
  <c r="N254" i="1" s="1"/>
  <c r="M253" i="1"/>
  <c r="F255" i="1"/>
  <c r="G255" i="1"/>
  <c r="J255" i="1"/>
  <c r="H256" i="1"/>
  <c r="D256" i="1"/>
  <c r="B258" i="1"/>
  <c r="C257" i="1"/>
  <c r="P176" i="2" l="1"/>
  <c r="M256" i="2"/>
  <c r="F257" i="2"/>
  <c r="K257" i="2"/>
  <c r="C258" i="2"/>
  <c r="E258" i="2" s="1"/>
  <c r="L258" i="2" s="1"/>
  <c r="O179" i="2" s="1"/>
  <c r="D258" i="2"/>
  <c r="B259" i="2"/>
  <c r="G256" i="2"/>
  <c r="K255" i="1"/>
  <c r="N255" i="1" s="1"/>
  <c r="M254" i="1"/>
  <c r="F256" i="1"/>
  <c r="G256" i="1"/>
  <c r="J256" i="1"/>
  <c r="H257" i="1"/>
  <c r="D257" i="1"/>
  <c r="B259" i="1"/>
  <c r="C258" i="1"/>
  <c r="P177" i="2" l="1"/>
  <c r="M257" i="2"/>
  <c r="F258" i="2"/>
  <c r="K258" i="2"/>
  <c r="C259" i="2"/>
  <c r="E259" i="2" s="1"/>
  <c r="L259" i="2" s="1"/>
  <c r="O180" i="2" s="1"/>
  <c r="D259" i="2"/>
  <c r="G257" i="2"/>
  <c r="B260" i="2"/>
  <c r="K256" i="1"/>
  <c r="N256" i="1" s="1"/>
  <c r="M255" i="1"/>
  <c r="F257" i="1"/>
  <c r="G257" i="1"/>
  <c r="J257" i="1"/>
  <c r="D258" i="1"/>
  <c r="H258" i="1"/>
  <c r="B260" i="1"/>
  <c r="C259" i="1"/>
  <c r="P178" i="2" l="1"/>
  <c r="M258" i="2"/>
  <c r="F259" i="2"/>
  <c r="K259" i="2"/>
  <c r="C260" i="2"/>
  <c r="E260" i="2" s="1"/>
  <c r="L260" i="2" s="1"/>
  <c r="O181" i="2" s="1"/>
  <c r="D260" i="2"/>
  <c r="G258" i="2"/>
  <c r="B261" i="2"/>
  <c r="K257" i="1"/>
  <c r="N257" i="1" s="1"/>
  <c r="M256" i="1"/>
  <c r="J258" i="1"/>
  <c r="F258" i="1"/>
  <c r="G258" i="1"/>
  <c r="H259" i="1"/>
  <c r="D259" i="1"/>
  <c r="B261" i="1"/>
  <c r="C260" i="1"/>
  <c r="P179" i="2" l="1"/>
  <c r="M259" i="2"/>
  <c r="F260" i="2"/>
  <c r="K260" i="2"/>
  <c r="C261" i="2"/>
  <c r="E261" i="2" s="1"/>
  <c r="L261" i="2" s="1"/>
  <c r="O182" i="2" s="1"/>
  <c r="D261" i="2"/>
  <c r="B262" i="2"/>
  <c r="G259" i="2"/>
  <c r="M257" i="1"/>
  <c r="K258" i="1"/>
  <c r="N258" i="1" s="1"/>
  <c r="J259" i="1"/>
  <c r="F259" i="1"/>
  <c r="G259" i="1"/>
  <c r="H260" i="1"/>
  <c r="D260" i="1"/>
  <c r="B262" i="1"/>
  <c r="C261" i="1"/>
  <c r="P180" i="2" l="1"/>
  <c r="M260" i="2"/>
  <c r="F261" i="2"/>
  <c r="K261" i="2"/>
  <c r="C262" i="2"/>
  <c r="E262" i="2" s="1"/>
  <c r="L262" i="2" s="1"/>
  <c r="O183" i="2" s="1"/>
  <c r="D262" i="2"/>
  <c r="G260" i="2"/>
  <c r="B263" i="2"/>
  <c r="M258" i="1"/>
  <c r="K259" i="1"/>
  <c r="N259" i="1" s="1"/>
  <c r="F260" i="1"/>
  <c r="G260" i="1"/>
  <c r="J260" i="1"/>
  <c r="D261" i="1"/>
  <c r="G261" i="1" s="1"/>
  <c r="H261" i="1"/>
  <c r="B263" i="1"/>
  <c r="C262" i="1"/>
  <c r="P181" i="2" l="1"/>
  <c r="M261" i="2"/>
  <c r="F262" i="2"/>
  <c r="K262" i="2"/>
  <c r="C263" i="2"/>
  <c r="E263" i="2" s="1"/>
  <c r="L263" i="2" s="1"/>
  <c r="O184" i="2" s="1"/>
  <c r="D263" i="2"/>
  <c r="B264" i="2"/>
  <c r="G261" i="2"/>
  <c r="K260" i="1"/>
  <c r="N260" i="1" s="1"/>
  <c r="M259" i="1"/>
  <c r="J261" i="1"/>
  <c r="D262" i="1"/>
  <c r="G262" i="1" s="1"/>
  <c r="H262" i="1"/>
  <c r="F261" i="1"/>
  <c r="B264" i="1"/>
  <c r="C263" i="1"/>
  <c r="P182" i="2" l="1"/>
  <c r="M262" i="2"/>
  <c r="F263" i="2"/>
  <c r="K263" i="2"/>
  <c r="C264" i="2"/>
  <c r="E264" i="2" s="1"/>
  <c r="L264" i="2" s="1"/>
  <c r="O185" i="2" s="1"/>
  <c r="D264" i="2"/>
  <c r="G262" i="2"/>
  <c r="B265" i="2"/>
  <c r="K261" i="1"/>
  <c r="N261" i="1" s="1"/>
  <c r="M260" i="1"/>
  <c r="J262" i="1"/>
  <c r="H263" i="1"/>
  <c r="D263" i="1"/>
  <c r="G263" i="1" s="1"/>
  <c r="F262" i="1"/>
  <c r="B265" i="1"/>
  <c r="C264" i="1"/>
  <c r="P183" i="2" l="1"/>
  <c r="M263" i="2"/>
  <c r="F264" i="2"/>
  <c r="K264" i="2"/>
  <c r="C265" i="2"/>
  <c r="E265" i="2" s="1"/>
  <c r="L265" i="2" s="1"/>
  <c r="O186" i="2" s="1"/>
  <c r="D265" i="2"/>
  <c r="G263" i="2"/>
  <c r="B266" i="2"/>
  <c r="K262" i="1"/>
  <c r="N262" i="1" s="1"/>
  <c r="M261" i="1"/>
  <c r="J263" i="1"/>
  <c r="D264" i="1"/>
  <c r="G264" i="1" s="1"/>
  <c r="H264" i="1"/>
  <c r="F263" i="1"/>
  <c r="B266" i="1"/>
  <c r="C265" i="1"/>
  <c r="P184" i="2" l="1"/>
  <c r="M264" i="2"/>
  <c r="F265" i="2"/>
  <c r="K265" i="2"/>
  <c r="C266" i="2"/>
  <c r="E266" i="2" s="1"/>
  <c r="L266" i="2" s="1"/>
  <c r="O187" i="2" s="1"/>
  <c r="D266" i="2"/>
  <c r="G264" i="2"/>
  <c r="B267" i="2"/>
  <c r="M262" i="1"/>
  <c r="K263" i="1"/>
  <c r="N263" i="1" s="1"/>
  <c r="J264" i="1"/>
  <c r="D265" i="1"/>
  <c r="G265" i="1" s="1"/>
  <c r="H265" i="1"/>
  <c r="F264" i="1"/>
  <c r="B267" i="1"/>
  <c r="C266" i="1"/>
  <c r="P185" i="2" l="1"/>
  <c r="M265" i="2"/>
  <c r="F266" i="2"/>
  <c r="K266" i="2"/>
  <c r="C267" i="2"/>
  <c r="E267" i="2" s="1"/>
  <c r="L267" i="2" s="1"/>
  <c r="O188" i="2" s="1"/>
  <c r="D267" i="2"/>
  <c r="B268" i="2"/>
  <c r="G265" i="2"/>
  <c r="M263" i="1"/>
  <c r="K264" i="1"/>
  <c r="N264" i="1" s="1"/>
  <c r="J265" i="1"/>
  <c r="H266" i="1"/>
  <c r="D266" i="1"/>
  <c r="F265" i="1"/>
  <c r="B268" i="1"/>
  <c r="C267" i="1"/>
  <c r="P186" i="2" l="1"/>
  <c r="M266" i="2"/>
  <c r="F267" i="2"/>
  <c r="K267" i="2"/>
  <c r="C268" i="2"/>
  <c r="E268" i="2" s="1"/>
  <c r="L268" i="2" s="1"/>
  <c r="O189" i="2" s="1"/>
  <c r="D268" i="2"/>
  <c r="B269" i="2"/>
  <c r="G266" i="2"/>
  <c r="K265" i="1"/>
  <c r="N265" i="1" s="1"/>
  <c r="M264" i="1"/>
  <c r="J266" i="1"/>
  <c r="F266" i="1"/>
  <c r="G266" i="1"/>
  <c r="H267" i="1"/>
  <c r="D267" i="1"/>
  <c r="B269" i="1"/>
  <c r="C268" i="1"/>
  <c r="P187" i="2" l="1"/>
  <c r="M267" i="2"/>
  <c r="F268" i="2"/>
  <c r="K268" i="2"/>
  <c r="C269" i="2"/>
  <c r="E269" i="2" s="1"/>
  <c r="L269" i="2" s="1"/>
  <c r="O190" i="2" s="1"/>
  <c r="D269" i="2"/>
  <c r="G267" i="2"/>
  <c r="B270" i="2"/>
  <c r="K266" i="1"/>
  <c r="N266" i="1" s="1"/>
  <c r="M265" i="1"/>
  <c r="F267" i="1"/>
  <c r="G267" i="1"/>
  <c r="J267" i="1"/>
  <c r="H268" i="1"/>
  <c r="D268" i="1"/>
  <c r="B270" i="1"/>
  <c r="C269" i="1"/>
  <c r="P188" i="2" l="1"/>
  <c r="M268" i="2"/>
  <c r="F269" i="2"/>
  <c r="K269" i="2"/>
  <c r="C270" i="2"/>
  <c r="E270" i="2" s="1"/>
  <c r="L270" i="2" s="1"/>
  <c r="O191" i="2" s="1"/>
  <c r="D270" i="2"/>
  <c r="G268" i="2"/>
  <c r="B271" i="2"/>
  <c r="M266" i="1"/>
  <c r="K267" i="1"/>
  <c r="N267" i="1" s="1"/>
  <c r="F268" i="1"/>
  <c r="G268" i="1"/>
  <c r="J268" i="1"/>
  <c r="D269" i="1"/>
  <c r="G269" i="1" s="1"/>
  <c r="H269" i="1"/>
  <c r="B271" i="1"/>
  <c r="C270" i="1"/>
  <c r="P189" i="2" l="1"/>
  <c r="M269" i="2"/>
  <c r="F270" i="2"/>
  <c r="K270" i="2"/>
  <c r="C271" i="2"/>
  <c r="E271" i="2" s="1"/>
  <c r="L271" i="2" s="1"/>
  <c r="O192" i="2" s="1"/>
  <c r="D271" i="2"/>
  <c r="G269" i="2"/>
  <c r="B272" i="2"/>
  <c r="K268" i="1"/>
  <c r="N268" i="1" s="1"/>
  <c r="M267" i="1"/>
  <c r="J269" i="1"/>
  <c r="H270" i="1"/>
  <c r="D270" i="1"/>
  <c r="F269" i="1"/>
  <c r="B272" i="1"/>
  <c r="C271" i="1"/>
  <c r="P190" i="2" l="1"/>
  <c r="M270" i="2"/>
  <c r="F271" i="2"/>
  <c r="K271" i="2"/>
  <c r="C272" i="2"/>
  <c r="E272" i="2" s="1"/>
  <c r="L272" i="2" s="1"/>
  <c r="O193" i="2" s="1"/>
  <c r="D272" i="2"/>
  <c r="B273" i="2"/>
  <c r="G270" i="2"/>
  <c r="K269" i="1"/>
  <c r="N269" i="1" s="1"/>
  <c r="M269" i="1"/>
  <c r="M268" i="1"/>
  <c r="J270" i="1"/>
  <c r="F270" i="1"/>
  <c r="G270" i="1"/>
  <c r="H271" i="1"/>
  <c r="D271" i="1"/>
  <c r="B273" i="1"/>
  <c r="C272" i="1"/>
  <c r="P191" i="2" l="1"/>
  <c r="M271" i="2"/>
  <c r="F272" i="2"/>
  <c r="K272" i="2"/>
  <c r="C273" i="2"/>
  <c r="E273" i="2" s="1"/>
  <c r="L273" i="2" s="1"/>
  <c r="O194" i="2" s="1"/>
  <c r="D273" i="2"/>
  <c r="G271" i="2"/>
  <c r="B274" i="2"/>
  <c r="K270" i="1"/>
  <c r="N270" i="1" s="1"/>
  <c r="J271" i="1"/>
  <c r="F271" i="1"/>
  <c r="G271" i="1"/>
  <c r="H272" i="1"/>
  <c r="D272" i="1"/>
  <c r="B274" i="1"/>
  <c r="C273" i="1"/>
  <c r="P192" i="2" l="1"/>
  <c r="M272" i="2"/>
  <c r="F273" i="2"/>
  <c r="K273" i="2"/>
  <c r="C274" i="2"/>
  <c r="E274" i="2" s="1"/>
  <c r="L274" i="2" s="1"/>
  <c r="O195" i="2" s="1"/>
  <c r="D274" i="2"/>
  <c r="B275" i="2"/>
  <c r="G272" i="2"/>
  <c r="K271" i="1"/>
  <c r="N271" i="1" s="1"/>
  <c r="M270" i="1"/>
  <c r="F272" i="1"/>
  <c r="G272" i="1"/>
  <c r="J272" i="1"/>
  <c r="D273" i="1"/>
  <c r="G273" i="1" s="1"/>
  <c r="H273" i="1"/>
  <c r="B275" i="1"/>
  <c r="C274" i="1"/>
  <c r="P193" i="2" l="1"/>
  <c r="M273" i="2"/>
  <c r="F274" i="2"/>
  <c r="K274" i="2"/>
  <c r="C275" i="2"/>
  <c r="E275" i="2" s="1"/>
  <c r="L275" i="2" s="1"/>
  <c r="O196" i="2" s="1"/>
  <c r="D275" i="2"/>
  <c r="G273" i="2"/>
  <c r="B276" i="2"/>
  <c r="M271" i="1"/>
  <c r="K272" i="1"/>
  <c r="N272" i="1" s="1"/>
  <c r="J273" i="1"/>
  <c r="D274" i="1"/>
  <c r="G274" i="1" s="1"/>
  <c r="H274" i="1"/>
  <c r="F273" i="1"/>
  <c r="B276" i="1"/>
  <c r="C275" i="1"/>
  <c r="P194" i="2" l="1"/>
  <c r="M274" i="2"/>
  <c r="F275" i="2"/>
  <c r="K275" i="2"/>
  <c r="C276" i="2"/>
  <c r="E276" i="2" s="1"/>
  <c r="L276" i="2" s="1"/>
  <c r="O197" i="2" s="1"/>
  <c r="D276" i="2"/>
  <c r="G274" i="2"/>
  <c r="B277" i="2"/>
  <c r="M272" i="1"/>
  <c r="K273" i="1"/>
  <c r="N273" i="1" s="1"/>
  <c r="J274" i="1"/>
  <c r="D275" i="1"/>
  <c r="G275" i="1" s="1"/>
  <c r="H275" i="1"/>
  <c r="F274" i="1"/>
  <c r="B277" i="1"/>
  <c r="C276" i="1"/>
  <c r="P195" i="2" l="1"/>
  <c r="M275" i="2"/>
  <c r="F276" i="2"/>
  <c r="K276" i="2"/>
  <c r="C277" i="2"/>
  <c r="E277" i="2" s="1"/>
  <c r="L277" i="2" s="1"/>
  <c r="O198" i="2" s="1"/>
  <c r="D277" i="2"/>
  <c r="G275" i="2"/>
  <c r="B278" i="2"/>
  <c r="K274" i="1"/>
  <c r="N274" i="1" s="1"/>
  <c r="M273" i="1"/>
  <c r="J275" i="1"/>
  <c r="H276" i="1"/>
  <c r="D276" i="1"/>
  <c r="F275" i="1"/>
  <c r="B278" i="1"/>
  <c r="C277" i="1"/>
  <c r="P196" i="2" l="1"/>
  <c r="M276" i="2"/>
  <c r="F277" i="2"/>
  <c r="K277" i="2"/>
  <c r="C278" i="2"/>
  <c r="E278" i="2" s="1"/>
  <c r="L278" i="2" s="1"/>
  <c r="O199" i="2" s="1"/>
  <c r="D278" i="2"/>
  <c r="G276" i="2"/>
  <c r="B279" i="2"/>
  <c r="M274" i="1"/>
  <c r="K275" i="1"/>
  <c r="N275" i="1" s="1"/>
  <c r="J276" i="1"/>
  <c r="F276" i="1"/>
  <c r="G276" i="1"/>
  <c r="H277" i="1"/>
  <c r="D277" i="1"/>
  <c r="B279" i="1"/>
  <c r="C278" i="1"/>
  <c r="P197" i="2" l="1"/>
  <c r="M277" i="2"/>
  <c r="F278" i="2"/>
  <c r="K278" i="2"/>
  <c r="C279" i="2"/>
  <c r="E279" i="2" s="1"/>
  <c r="L279" i="2" s="1"/>
  <c r="O200" i="2" s="1"/>
  <c r="D279" i="2"/>
  <c r="G277" i="2"/>
  <c r="B280" i="2"/>
  <c r="M275" i="1"/>
  <c r="K276" i="1"/>
  <c r="N276" i="1" s="1"/>
  <c r="F277" i="1"/>
  <c r="G277" i="1"/>
  <c r="J277" i="1"/>
  <c r="H278" i="1"/>
  <c r="D278" i="1"/>
  <c r="B280" i="1"/>
  <c r="C279" i="1"/>
  <c r="P198" i="2" l="1"/>
  <c r="M278" i="2"/>
  <c r="F279" i="2"/>
  <c r="K279" i="2"/>
  <c r="C280" i="2"/>
  <c r="E280" i="2" s="1"/>
  <c r="L280" i="2" s="1"/>
  <c r="O201" i="2" s="1"/>
  <c r="D280" i="2"/>
  <c r="G278" i="2"/>
  <c r="B281" i="2"/>
  <c r="K277" i="1"/>
  <c r="N277" i="1" s="1"/>
  <c r="M276" i="1"/>
  <c r="J278" i="1"/>
  <c r="F278" i="1"/>
  <c r="G278" i="1"/>
  <c r="H279" i="1"/>
  <c r="D279" i="1"/>
  <c r="B281" i="1"/>
  <c r="C280" i="1"/>
  <c r="P199" i="2" l="1"/>
  <c r="M279" i="2"/>
  <c r="F280" i="2"/>
  <c r="K280" i="2"/>
  <c r="C281" i="2"/>
  <c r="E281" i="2" s="1"/>
  <c r="L281" i="2" s="1"/>
  <c r="O202" i="2" s="1"/>
  <c r="D281" i="2"/>
  <c r="G279" i="2"/>
  <c r="B282" i="2"/>
  <c r="K278" i="1"/>
  <c r="N278" i="1" s="1"/>
  <c r="M277" i="1"/>
  <c r="F279" i="1"/>
  <c r="G279" i="1"/>
  <c r="J279" i="1"/>
  <c r="D280" i="1"/>
  <c r="G280" i="1" s="1"/>
  <c r="H280" i="1"/>
  <c r="B282" i="1"/>
  <c r="C281" i="1"/>
  <c r="P200" i="2" l="1"/>
  <c r="M280" i="2"/>
  <c r="F281" i="2"/>
  <c r="K281" i="2"/>
  <c r="C282" i="2"/>
  <c r="E282" i="2" s="1"/>
  <c r="L282" i="2" s="1"/>
  <c r="O203" i="2" s="1"/>
  <c r="D282" i="2"/>
  <c r="G280" i="2"/>
  <c r="B283" i="2"/>
  <c r="M278" i="1"/>
  <c r="K279" i="1"/>
  <c r="N279" i="1" s="1"/>
  <c r="J280" i="1"/>
  <c r="H281" i="1"/>
  <c r="D281" i="1"/>
  <c r="F280" i="1"/>
  <c r="B283" i="1"/>
  <c r="C282" i="1"/>
  <c r="P201" i="2" l="1"/>
  <c r="M281" i="2"/>
  <c r="F282" i="2"/>
  <c r="K282" i="2"/>
  <c r="C283" i="2"/>
  <c r="E283" i="2" s="1"/>
  <c r="L283" i="2" s="1"/>
  <c r="O204" i="2" s="1"/>
  <c r="D283" i="2"/>
  <c r="G281" i="2"/>
  <c r="B284" i="2"/>
  <c r="K280" i="1"/>
  <c r="N280" i="1" s="1"/>
  <c r="M279" i="1"/>
  <c r="J281" i="1"/>
  <c r="F281" i="1"/>
  <c r="G281" i="1"/>
  <c r="H282" i="1"/>
  <c r="D282" i="1"/>
  <c r="B284" i="1"/>
  <c r="C283" i="1"/>
  <c r="P202" i="2" l="1"/>
  <c r="M282" i="2"/>
  <c r="F283" i="2"/>
  <c r="G283" i="2" s="1"/>
  <c r="K283" i="2"/>
  <c r="C284" i="2"/>
  <c r="E284" i="2" s="1"/>
  <c r="L284" i="2" s="1"/>
  <c r="O205" i="2" s="1"/>
  <c r="D284" i="2"/>
  <c r="B285" i="2"/>
  <c r="G282" i="2"/>
  <c r="K281" i="1"/>
  <c r="N281" i="1" s="1"/>
  <c r="M281" i="1"/>
  <c r="M280" i="1"/>
  <c r="F282" i="1"/>
  <c r="G282" i="1"/>
  <c r="J282" i="1"/>
  <c r="H283" i="1"/>
  <c r="D283" i="1"/>
  <c r="B285" i="1"/>
  <c r="C284" i="1"/>
  <c r="P203" i="2" l="1"/>
  <c r="M283" i="2"/>
  <c r="F284" i="2"/>
  <c r="K284" i="2"/>
  <c r="C285" i="2"/>
  <c r="E285" i="2" s="1"/>
  <c r="L285" i="2" s="1"/>
  <c r="O206" i="2" s="1"/>
  <c r="D285" i="2"/>
  <c r="B286" i="2"/>
  <c r="K282" i="1"/>
  <c r="N282" i="1" s="1"/>
  <c r="J283" i="1"/>
  <c r="F283" i="1"/>
  <c r="G283" i="1"/>
  <c r="H284" i="1"/>
  <c r="D284" i="1"/>
  <c r="G284" i="1" s="1"/>
  <c r="B286" i="1"/>
  <c r="C285" i="1"/>
  <c r="P204" i="2" l="1"/>
  <c r="M284" i="2"/>
  <c r="F285" i="2"/>
  <c r="K285" i="2"/>
  <c r="C286" i="2"/>
  <c r="E286" i="2" s="1"/>
  <c r="L286" i="2" s="1"/>
  <c r="O207" i="2" s="1"/>
  <c r="D286" i="2"/>
  <c r="G284" i="2"/>
  <c r="B287" i="2"/>
  <c r="M282" i="1"/>
  <c r="K283" i="1"/>
  <c r="N283" i="1" s="1"/>
  <c r="J284" i="1"/>
  <c r="D285" i="1"/>
  <c r="G285" i="1" s="1"/>
  <c r="H285" i="1"/>
  <c r="F284" i="1"/>
  <c r="B287" i="1"/>
  <c r="C286" i="1"/>
  <c r="P205" i="2" l="1"/>
  <c r="M285" i="2"/>
  <c r="F286" i="2"/>
  <c r="K286" i="2"/>
  <c r="C287" i="2"/>
  <c r="E287" i="2" s="1"/>
  <c r="L287" i="2" s="1"/>
  <c r="O208" i="2" s="1"/>
  <c r="D287" i="2"/>
  <c r="G285" i="2"/>
  <c r="B288" i="2"/>
  <c r="K284" i="1"/>
  <c r="N284" i="1" s="1"/>
  <c r="M283" i="1"/>
  <c r="J285" i="1"/>
  <c r="H286" i="1"/>
  <c r="D286" i="1"/>
  <c r="F285" i="1"/>
  <c r="B288" i="1"/>
  <c r="C287" i="1"/>
  <c r="P206" i="2" l="1"/>
  <c r="M286" i="2"/>
  <c r="F287" i="2"/>
  <c r="K287" i="2"/>
  <c r="C288" i="2"/>
  <c r="E288" i="2" s="1"/>
  <c r="L288" i="2" s="1"/>
  <c r="O209" i="2" s="1"/>
  <c r="D288" i="2"/>
  <c r="B289" i="2"/>
  <c r="G286" i="2"/>
  <c r="K285" i="1"/>
  <c r="N285" i="1" s="1"/>
  <c r="M285" i="1"/>
  <c r="M284" i="1"/>
  <c r="F286" i="1"/>
  <c r="G286" i="1"/>
  <c r="J286" i="1"/>
  <c r="H287" i="1"/>
  <c r="D287" i="1"/>
  <c r="B289" i="1"/>
  <c r="C288" i="1"/>
  <c r="P207" i="2" l="1"/>
  <c r="M287" i="2"/>
  <c r="F288" i="2"/>
  <c r="K288" i="2"/>
  <c r="C289" i="2"/>
  <c r="E289" i="2" s="1"/>
  <c r="L289" i="2" s="1"/>
  <c r="O210" i="2" s="1"/>
  <c r="D289" i="2"/>
  <c r="G287" i="2"/>
  <c r="B290" i="2"/>
  <c r="K286" i="1"/>
  <c r="N286" i="1" s="1"/>
  <c r="F287" i="1"/>
  <c r="G287" i="1"/>
  <c r="J287" i="1"/>
  <c r="H288" i="1"/>
  <c r="D288" i="1"/>
  <c r="B290" i="1"/>
  <c r="C289" i="1"/>
  <c r="P208" i="2" l="1"/>
  <c r="M288" i="2"/>
  <c r="F289" i="2"/>
  <c r="K289" i="2"/>
  <c r="C290" i="2"/>
  <c r="E290" i="2" s="1"/>
  <c r="L290" i="2" s="1"/>
  <c r="O211" i="2" s="1"/>
  <c r="D290" i="2"/>
  <c r="G288" i="2"/>
  <c r="B291" i="2"/>
  <c r="K287" i="1"/>
  <c r="N287" i="1" s="1"/>
  <c r="M286" i="1"/>
  <c r="F288" i="1"/>
  <c r="G288" i="1"/>
  <c r="J288" i="1"/>
  <c r="D289" i="1"/>
  <c r="G289" i="1" s="1"/>
  <c r="H289" i="1"/>
  <c r="B291" i="1"/>
  <c r="C290" i="1"/>
  <c r="P209" i="2" l="1"/>
  <c r="M289" i="2"/>
  <c r="F290" i="2"/>
  <c r="K290" i="2"/>
  <c r="C291" i="2"/>
  <c r="E291" i="2" s="1"/>
  <c r="L291" i="2" s="1"/>
  <c r="O212" i="2" s="1"/>
  <c r="D291" i="2"/>
  <c r="G289" i="2"/>
  <c r="B292" i="2"/>
  <c r="K288" i="1"/>
  <c r="N288" i="1" s="1"/>
  <c r="M287" i="1"/>
  <c r="J289" i="1"/>
  <c r="H290" i="1"/>
  <c r="D290" i="1"/>
  <c r="G290" i="1" s="1"/>
  <c r="F289" i="1"/>
  <c r="B292" i="1"/>
  <c r="C291" i="1"/>
  <c r="P210" i="2" l="1"/>
  <c r="M290" i="2"/>
  <c r="F291" i="2"/>
  <c r="K291" i="2"/>
  <c r="C292" i="2"/>
  <c r="E292" i="2" s="1"/>
  <c r="L292" i="2" s="1"/>
  <c r="O213" i="2" s="1"/>
  <c r="D292" i="2"/>
  <c r="G290" i="2"/>
  <c r="B293" i="2"/>
  <c r="M288" i="1"/>
  <c r="K289" i="1"/>
  <c r="N289" i="1" s="1"/>
  <c r="J290" i="1"/>
  <c r="D291" i="1"/>
  <c r="G291" i="1" s="1"/>
  <c r="H291" i="1"/>
  <c r="F290" i="1"/>
  <c r="B293" i="1"/>
  <c r="C292" i="1"/>
  <c r="P211" i="2" l="1"/>
  <c r="M291" i="2"/>
  <c r="F292" i="2"/>
  <c r="K292" i="2"/>
  <c r="C293" i="2"/>
  <c r="E293" i="2" s="1"/>
  <c r="L293" i="2" s="1"/>
  <c r="O214" i="2" s="1"/>
  <c r="D293" i="2"/>
  <c r="G291" i="2"/>
  <c r="B294" i="2"/>
  <c r="K290" i="1"/>
  <c r="N290" i="1" s="1"/>
  <c r="M289" i="1"/>
  <c r="M290" i="1"/>
  <c r="J291" i="1"/>
  <c r="H292" i="1"/>
  <c r="D292" i="1"/>
  <c r="F291" i="1"/>
  <c r="B294" i="1"/>
  <c r="C293" i="1"/>
  <c r="P212" i="2" l="1"/>
  <c r="M292" i="2"/>
  <c r="F293" i="2"/>
  <c r="K293" i="2"/>
  <c r="C294" i="2"/>
  <c r="E294" i="2" s="1"/>
  <c r="L294" i="2" s="1"/>
  <c r="O215" i="2" s="1"/>
  <c r="D294" i="2"/>
  <c r="B295" i="2"/>
  <c r="G292" i="2"/>
  <c r="K291" i="1"/>
  <c r="N291" i="1" s="1"/>
  <c r="F292" i="1"/>
  <c r="G292" i="1"/>
  <c r="J292" i="1"/>
  <c r="D293" i="1"/>
  <c r="G293" i="1" s="1"/>
  <c r="H293" i="1"/>
  <c r="B295" i="1"/>
  <c r="C294" i="1"/>
  <c r="P213" i="2" l="1"/>
  <c r="M293" i="2"/>
  <c r="F294" i="2"/>
  <c r="K294" i="2"/>
  <c r="C295" i="2"/>
  <c r="E295" i="2" s="1"/>
  <c r="L295" i="2" s="1"/>
  <c r="O216" i="2" s="1"/>
  <c r="D295" i="2"/>
  <c r="G293" i="2"/>
  <c r="B296" i="2"/>
  <c r="K292" i="1"/>
  <c r="N292" i="1" s="1"/>
  <c r="M291" i="1"/>
  <c r="J293" i="1"/>
  <c r="H294" i="1"/>
  <c r="D294" i="1"/>
  <c r="F293" i="1"/>
  <c r="B296" i="1"/>
  <c r="C295" i="1"/>
  <c r="P214" i="2" l="1"/>
  <c r="M294" i="2"/>
  <c r="F295" i="2"/>
  <c r="K295" i="2"/>
  <c r="C296" i="2"/>
  <c r="E296" i="2" s="1"/>
  <c r="L296" i="2" s="1"/>
  <c r="O217" i="2" s="1"/>
  <c r="D296" i="2"/>
  <c r="G294" i="2"/>
  <c r="B297" i="2"/>
  <c r="K293" i="1"/>
  <c r="N293" i="1" s="1"/>
  <c r="M293" i="1"/>
  <c r="M292" i="1"/>
  <c r="J294" i="1"/>
  <c r="F294" i="1"/>
  <c r="G294" i="1"/>
  <c r="H295" i="1"/>
  <c r="D295" i="1"/>
  <c r="B297" i="1"/>
  <c r="C296" i="1"/>
  <c r="P215" i="2" l="1"/>
  <c r="M295" i="2"/>
  <c r="F296" i="2"/>
  <c r="G296" i="2" s="1"/>
  <c r="K296" i="2"/>
  <c r="C297" i="2"/>
  <c r="E297" i="2" s="1"/>
  <c r="L297" i="2" s="1"/>
  <c r="O218" i="2" s="1"/>
  <c r="D297" i="2"/>
  <c r="G295" i="2"/>
  <c r="B298" i="2"/>
  <c r="K294" i="1"/>
  <c r="N294" i="1" s="1"/>
  <c r="F295" i="1"/>
  <c r="G295" i="1"/>
  <c r="J295" i="1"/>
  <c r="H296" i="1"/>
  <c r="D296" i="1"/>
  <c r="B298" i="1"/>
  <c r="C297" i="1"/>
  <c r="P216" i="2" l="1"/>
  <c r="M296" i="2"/>
  <c r="F297" i="2"/>
  <c r="K297" i="2"/>
  <c r="C298" i="2"/>
  <c r="E298" i="2" s="1"/>
  <c r="L298" i="2" s="1"/>
  <c r="O219" i="2" s="1"/>
  <c r="D298" i="2"/>
  <c r="B299" i="2"/>
  <c r="M294" i="1"/>
  <c r="K295" i="1"/>
  <c r="N295" i="1" s="1"/>
  <c r="F296" i="1"/>
  <c r="G296" i="1"/>
  <c r="J296" i="1"/>
  <c r="H297" i="1"/>
  <c r="D297" i="1"/>
  <c r="B299" i="1"/>
  <c r="C298" i="1"/>
  <c r="P217" i="2" l="1"/>
  <c r="M297" i="2"/>
  <c r="F298" i="2"/>
  <c r="K298" i="2"/>
  <c r="C299" i="2"/>
  <c r="E299" i="2" s="1"/>
  <c r="L299" i="2" s="1"/>
  <c r="O220" i="2" s="1"/>
  <c r="D299" i="2"/>
  <c r="G297" i="2"/>
  <c r="B300" i="2"/>
  <c r="K296" i="1"/>
  <c r="N296" i="1" s="1"/>
  <c r="M295" i="1"/>
  <c r="F297" i="1"/>
  <c r="G297" i="1"/>
  <c r="J297" i="1"/>
  <c r="H298" i="1"/>
  <c r="D298" i="1"/>
  <c r="B300" i="1"/>
  <c r="C299" i="1"/>
  <c r="P218" i="2" l="1"/>
  <c r="M298" i="2"/>
  <c r="F299" i="2"/>
  <c r="K299" i="2"/>
  <c r="C300" i="2"/>
  <c r="E300" i="2" s="1"/>
  <c r="L300" i="2" s="1"/>
  <c r="O221" i="2" s="1"/>
  <c r="D300" i="2"/>
  <c r="B301" i="2"/>
  <c r="G298" i="2"/>
  <c r="M296" i="1"/>
  <c r="K297" i="1"/>
  <c r="N297" i="1" s="1"/>
  <c r="J298" i="1"/>
  <c r="F298" i="1"/>
  <c r="G298" i="1"/>
  <c r="D299" i="1"/>
  <c r="G299" i="1" s="1"/>
  <c r="H299" i="1"/>
  <c r="B301" i="1"/>
  <c r="C300" i="1"/>
  <c r="P219" i="2" l="1"/>
  <c r="M299" i="2"/>
  <c r="F300" i="2"/>
  <c r="K300" i="2"/>
  <c r="C301" i="2"/>
  <c r="E301" i="2" s="1"/>
  <c r="L301" i="2" s="1"/>
  <c r="O222" i="2" s="1"/>
  <c r="D301" i="2"/>
  <c r="G299" i="2"/>
  <c r="B302" i="2"/>
  <c r="K298" i="1"/>
  <c r="N298" i="1" s="1"/>
  <c r="M297" i="1"/>
  <c r="J299" i="1"/>
  <c r="D300" i="1"/>
  <c r="G300" i="1" s="1"/>
  <c r="H300" i="1"/>
  <c r="F299" i="1"/>
  <c r="B302" i="1"/>
  <c r="C301" i="1"/>
  <c r="P220" i="2" l="1"/>
  <c r="M300" i="2"/>
  <c r="F301" i="2"/>
  <c r="K301" i="2"/>
  <c r="C302" i="2"/>
  <c r="E302" i="2" s="1"/>
  <c r="L302" i="2" s="1"/>
  <c r="O223" i="2" s="1"/>
  <c r="D302" i="2"/>
  <c r="G300" i="2"/>
  <c r="B303" i="2"/>
  <c r="K299" i="1"/>
  <c r="N299" i="1" s="1"/>
  <c r="M298" i="1"/>
  <c r="M299" i="1"/>
  <c r="J300" i="1"/>
  <c r="D301" i="1"/>
  <c r="G301" i="1" s="1"/>
  <c r="H301" i="1"/>
  <c r="F300" i="1"/>
  <c r="B303" i="1"/>
  <c r="C302" i="1"/>
  <c r="P221" i="2" l="1"/>
  <c r="M301" i="2"/>
  <c r="F302" i="2"/>
  <c r="K302" i="2"/>
  <c r="C303" i="2"/>
  <c r="E303" i="2" s="1"/>
  <c r="L303" i="2" s="1"/>
  <c r="O224" i="2" s="1"/>
  <c r="D303" i="2"/>
  <c r="B304" i="2"/>
  <c r="G301" i="2"/>
  <c r="K300" i="1"/>
  <c r="N300" i="1" s="1"/>
  <c r="J301" i="1"/>
  <c r="H302" i="1"/>
  <c r="D302" i="1"/>
  <c r="F301" i="1"/>
  <c r="B304" i="1"/>
  <c r="C303" i="1"/>
  <c r="P222" i="2" l="1"/>
  <c r="M302" i="2"/>
  <c r="F303" i="2"/>
  <c r="K303" i="2"/>
  <c r="C304" i="2"/>
  <c r="E304" i="2" s="1"/>
  <c r="L304" i="2" s="1"/>
  <c r="O225" i="2" s="1"/>
  <c r="D304" i="2"/>
  <c r="G302" i="2"/>
  <c r="B305" i="2"/>
  <c r="K301" i="1"/>
  <c r="N301" i="1" s="1"/>
  <c r="M300" i="1"/>
  <c r="F302" i="1"/>
  <c r="G302" i="1"/>
  <c r="J302" i="1"/>
  <c r="H303" i="1"/>
  <c r="D303" i="1"/>
  <c r="B305" i="1"/>
  <c r="C304" i="1"/>
  <c r="P223" i="2" l="1"/>
  <c r="M303" i="2"/>
  <c r="F304" i="2"/>
  <c r="K304" i="2"/>
  <c r="C305" i="2"/>
  <c r="E305" i="2" s="1"/>
  <c r="L305" i="2" s="1"/>
  <c r="D305" i="2"/>
  <c r="G303" i="2"/>
  <c r="B306" i="2"/>
  <c r="K302" i="1"/>
  <c r="N302" i="1" s="1"/>
  <c r="M301" i="1"/>
  <c r="M302" i="1"/>
  <c r="J303" i="1"/>
  <c r="F303" i="1"/>
  <c r="G303" i="1"/>
  <c r="H304" i="1"/>
  <c r="D304" i="1"/>
  <c r="G304" i="1" s="1"/>
  <c r="B306" i="1"/>
  <c r="C305" i="1"/>
  <c r="P224" i="2" l="1"/>
  <c r="M304" i="2"/>
  <c r="F305" i="2"/>
  <c r="K305" i="2"/>
  <c r="C306" i="2"/>
  <c r="E306" i="2" s="1"/>
  <c r="L306" i="2" s="1"/>
  <c r="D306" i="2"/>
  <c r="G304" i="2"/>
  <c r="B307" i="2"/>
  <c r="K303" i="1"/>
  <c r="N303" i="1" s="1"/>
  <c r="M303" i="1"/>
  <c r="J304" i="1"/>
  <c r="H305" i="1"/>
  <c r="D305" i="1"/>
  <c r="F304" i="1"/>
  <c r="B307" i="1"/>
  <c r="C306" i="1"/>
  <c r="P225" i="2" l="1"/>
  <c r="M305" i="2"/>
  <c r="F306" i="2"/>
  <c r="K306" i="2"/>
  <c r="C307" i="2"/>
  <c r="E307" i="2" s="1"/>
  <c r="L307" i="2" s="1"/>
  <c r="D307" i="2"/>
  <c r="G305" i="2"/>
  <c r="B308" i="2"/>
  <c r="K304" i="1"/>
  <c r="N304" i="1" s="1"/>
  <c r="J305" i="1"/>
  <c r="F305" i="1"/>
  <c r="G305" i="1"/>
  <c r="H306" i="1"/>
  <c r="D306" i="1"/>
  <c r="B308" i="1"/>
  <c r="C307" i="1"/>
  <c r="P226" i="2" l="1"/>
  <c r="M306" i="2"/>
  <c r="F307" i="2"/>
  <c r="K307" i="2"/>
  <c r="C308" i="2"/>
  <c r="E308" i="2" s="1"/>
  <c r="L308" i="2" s="1"/>
  <c r="D308" i="2"/>
  <c r="G306" i="2"/>
  <c r="B309" i="2"/>
  <c r="K305" i="1"/>
  <c r="N305" i="1" s="1"/>
  <c r="M305" i="1"/>
  <c r="M304" i="1"/>
  <c r="F306" i="1"/>
  <c r="G306" i="1"/>
  <c r="J306" i="1"/>
  <c r="D307" i="1"/>
  <c r="G307" i="1" s="1"/>
  <c r="H307" i="1"/>
  <c r="B309" i="1"/>
  <c r="C308" i="1"/>
  <c r="P227" i="2" l="1"/>
  <c r="M307" i="2"/>
  <c r="F308" i="2"/>
  <c r="K308" i="2"/>
  <c r="C309" i="2"/>
  <c r="E309" i="2" s="1"/>
  <c r="L309" i="2" s="1"/>
  <c r="D309" i="2"/>
  <c r="B310" i="2"/>
  <c r="G307" i="2"/>
  <c r="K306" i="1"/>
  <c r="N306" i="1" s="1"/>
  <c r="M306" i="1"/>
  <c r="J307" i="1"/>
  <c r="D308" i="1"/>
  <c r="G308" i="1" s="1"/>
  <c r="H308" i="1"/>
  <c r="F307" i="1"/>
  <c r="B310" i="1"/>
  <c r="C309" i="1"/>
  <c r="P228" i="2" l="1"/>
  <c r="M308" i="2"/>
  <c r="F309" i="2"/>
  <c r="K309" i="2"/>
  <c r="C310" i="2"/>
  <c r="E310" i="2" s="1"/>
  <c r="L310" i="2" s="1"/>
  <c r="D310" i="2"/>
  <c r="G308" i="2"/>
  <c r="B311" i="2"/>
  <c r="K307" i="1"/>
  <c r="N307" i="1" s="1"/>
  <c r="J308" i="1"/>
  <c r="D309" i="1"/>
  <c r="G309" i="1" s="1"/>
  <c r="H309" i="1"/>
  <c r="F308" i="1"/>
  <c r="B311" i="1"/>
  <c r="C310" i="1"/>
  <c r="P229" i="2" l="1"/>
  <c r="M309" i="2"/>
  <c r="F310" i="2"/>
  <c r="K310" i="2"/>
  <c r="C311" i="2"/>
  <c r="E311" i="2" s="1"/>
  <c r="L311" i="2" s="1"/>
  <c r="D311" i="2"/>
  <c r="G309" i="2"/>
  <c r="B312" i="2"/>
  <c r="M307" i="1"/>
  <c r="K308" i="1"/>
  <c r="N308" i="1" s="1"/>
  <c r="J309" i="1"/>
  <c r="H310" i="1"/>
  <c r="D310" i="1"/>
  <c r="F309" i="1"/>
  <c r="B312" i="1"/>
  <c r="C311" i="1"/>
  <c r="P230" i="2" l="1"/>
  <c r="M310" i="2"/>
  <c r="F311" i="2"/>
  <c r="K311" i="2"/>
  <c r="C312" i="2"/>
  <c r="E312" i="2" s="1"/>
  <c r="L312" i="2" s="1"/>
  <c r="D312" i="2"/>
  <c r="G310" i="2"/>
  <c r="B313" i="2"/>
  <c r="M308" i="1"/>
  <c r="K309" i="1"/>
  <c r="N309" i="1" s="1"/>
  <c r="F310" i="1"/>
  <c r="G310" i="1"/>
  <c r="J310" i="1"/>
  <c r="H311" i="1"/>
  <c r="D311" i="1"/>
  <c r="B313" i="1"/>
  <c r="C312" i="1"/>
  <c r="P231" i="2" l="1"/>
  <c r="M311" i="2"/>
  <c r="F312" i="2"/>
  <c r="K312" i="2"/>
  <c r="C313" i="2"/>
  <c r="E313" i="2" s="1"/>
  <c r="L313" i="2" s="1"/>
  <c r="D313" i="2"/>
  <c r="G311" i="2"/>
  <c r="B314" i="2"/>
  <c r="M309" i="1"/>
  <c r="K310" i="1"/>
  <c r="N310" i="1" s="1"/>
  <c r="F311" i="1"/>
  <c r="G311" i="1"/>
  <c r="J311" i="1"/>
  <c r="D312" i="1"/>
  <c r="G312" i="1" s="1"/>
  <c r="H312" i="1"/>
  <c r="B314" i="1"/>
  <c r="C313" i="1"/>
  <c r="P232" i="2" l="1"/>
  <c r="M312" i="2"/>
  <c r="F313" i="2"/>
  <c r="K313" i="2"/>
  <c r="C314" i="2"/>
  <c r="E314" i="2" s="1"/>
  <c r="L314" i="2" s="1"/>
  <c r="D314" i="2"/>
  <c r="G312" i="2"/>
  <c r="B315" i="2"/>
  <c r="M310" i="1"/>
  <c r="K311" i="1"/>
  <c r="N311" i="1" s="1"/>
  <c r="J312" i="1"/>
  <c r="H313" i="1"/>
  <c r="D313" i="1"/>
  <c r="F312" i="1"/>
  <c r="B315" i="1"/>
  <c r="C314" i="1"/>
  <c r="P233" i="2" l="1"/>
  <c r="M313" i="2"/>
  <c r="F314" i="2"/>
  <c r="K314" i="2"/>
  <c r="C315" i="2"/>
  <c r="E315" i="2" s="1"/>
  <c r="L315" i="2" s="1"/>
  <c r="D315" i="2"/>
  <c r="G313" i="2"/>
  <c r="B316" i="2"/>
  <c r="M311" i="1"/>
  <c r="K312" i="1"/>
  <c r="N312" i="1" s="1"/>
  <c r="J313" i="1"/>
  <c r="F313" i="1"/>
  <c r="G313" i="1"/>
  <c r="H314" i="1"/>
  <c r="D314" i="1"/>
  <c r="B316" i="1"/>
  <c r="C315" i="1"/>
  <c r="P234" i="2" l="1"/>
  <c r="M314" i="2"/>
  <c r="F315" i="2"/>
  <c r="K315" i="2"/>
  <c r="C316" i="2"/>
  <c r="E316" i="2" s="1"/>
  <c r="L316" i="2" s="1"/>
  <c r="D316" i="2"/>
  <c r="G314" i="2"/>
  <c r="B317" i="2"/>
  <c r="K313" i="1"/>
  <c r="N313" i="1" s="1"/>
  <c r="M312" i="1"/>
  <c r="F314" i="1"/>
  <c r="G314" i="1"/>
  <c r="J314" i="1"/>
  <c r="D315" i="1"/>
  <c r="G315" i="1" s="1"/>
  <c r="H315" i="1"/>
  <c r="B317" i="1"/>
  <c r="C316" i="1"/>
  <c r="P235" i="2" l="1"/>
  <c r="M315" i="2"/>
  <c r="F316" i="2"/>
  <c r="K316" i="2"/>
  <c r="C317" i="2"/>
  <c r="E317" i="2" s="1"/>
  <c r="L317" i="2" s="1"/>
  <c r="D317" i="2"/>
  <c r="B318" i="2"/>
  <c r="G315" i="2"/>
  <c r="K314" i="1"/>
  <c r="N314" i="1" s="1"/>
  <c r="M314" i="1"/>
  <c r="M313" i="1"/>
  <c r="J315" i="1"/>
  <c r="D316" i="1"/>
  <c r="G316" i="1" s="1"/>
  <c r="H316" i="1"/>
  <c r="F315" i="1"/>
  <c r="B318" i="1"/>
  <c r="C317" i="1"/>
  <c r="P236" i="2" l="1"/>
  <c r="M316" i="2"/>
  <c r="F317" i="2"/>
  <c r="K317" i="2"/>
  <c r="C318" i="2"/>
  <c r="E318" i="2" s="1"/>
  <c r="L318" i="2" s="1"/>
  <c r="D318" i="2"/>
  <c r="B319" i="2"/>
  <c r="G316" i="2"/>
  <c r="K315" i="1"/>
  <c r="N315" i="1" s="1"/>
  <c r="M315" i="1"/>
  <c r="J316" i="1"/>
  <c r="D317" i="1"/>
  <c r="G317" i="1" s="1"/>
  <c r="H317" i="1"/>
  <c r="F316" i="1"/>
  <c r="B319" i="1"/>
  <c r="C318" i="1"/>
  <c r="P237" i="2" l="1"/>
  <c r="M317" i="2"/>
  <c r="F318" i="2"/>
  <c r="K318" i="2"/>
  <c r="C319" i="2"/>
  <c r="E319" i="2" s="1"/>
  <c r="L319" i="2" s="1"/>
  <c r="D319" i="2"/>
  <c r="G317" i="2"/>
  <c r="B320" i="2"/>
  <c r="K316" i="1"/>
  <c r="N316" i="1" s="1"/>
  <c r="J317" i="1"/>
  <c r="H318" i="1"/>
  <c r="D318" i="1"/>
  <c r="F317" i="1"/>
  <c r="B320" i="1"/>
  <c r="C319" i="1"/>
  <c r="P238" i="2" l="1"/>
  <c r="M318" i="2"/>
  <c r="F319" i="2"/>
  <c r="K319" i="2"/>
  <c r="C320" i="2"/>
  <c r="E320" i="2" s="1"/>
  <c r="L320" i="2" s="1"/>
  <c r="D320" i="2"/>
  <c r="G318" i="2"/>
  <c r="B321" i="2"/>
  <c r="K317" i="1"/>
  <c r="N317" i="1" s="1"/>
  <c r="M316" i="1"/>
  <c r="F318" i="1"/>
  <c r="G318" i="1"/>
  <c r="J318" i="1"/>
  <c r="H319" i="1"/>
  <c r="D319" i="1"/>
  <c r="B321" i="1"/>
  <c r="C320" i="1"/>
  <c r="P239" i="2" l="1"/>
  <c r="M319" i="2"/>
  <c r="F320" i="2"/>
  <c r="K320" i="2"/>
  <c r="C321" i="2"/>
  <c r="E321" i="2" s="1"/>
  <c r="L321" i="2" s="1"/>
  <c r="D321" i="2"/>
  <c r="G319" i="2"/>
  <c r="B322" i="2"/>
  <c r="K318" i="1"/>
  <c r="N318" i="1" s="1"/>
  <c r="M317" i="1"/>
  <c r="F319" i="1"/>
  <c r="G319" i="1"/>
  <c r="J319" i="1"/>
  <c r="D320" i="1"/>
  <c r="G320" i="1" s="1"/>
  <c r="H320" i="1"/>
  <c r="B322" i="1"/>
  <c r="C321" i="1"/>
  <c r="P240" i="2" l="1"/>
  <c r="M320" i="2"/>
  <c r="F321" i="2"/>
  <c r="K321" i="2"/>
  <c r="C322" i="2"/>
  <c r="E322" i="2" s="1"/>
  <c r="L322" i="2" s="1"/>
  <c r="D322" i="2"/>
  <c r="G320" i="2"/>
  <c r="B323" i="2"/>
  <c r="K319" i="1"/>
  <c r="N319" i="1" s="1"/>
  <c r="M318" i="1"/>
  <c r="J320" i="1"/>
  <c r="H321" i="1"/>
  <c r="D321" i="1"/>
  <c r="F320" i="1"/>
  <c r="B323" i="1"/>
  <c r="C322" i="1"/>
  <c r="P241" i="2" l="1"/>
  <c r="M321" i="2"/>
  <c r="F322" i="2"/>
  <c r="K322" i="2"/>
  <c r="C323" i="2"/>
  <c r="E323" i="2" s="1"/>
  <c r="L323" i="2" s="1"/>
  <c r="D323" i="2"/>
  <c r="B324" i="2"/>
  <c r="G321" i="2"/>
  <c r="K320" i="1"/>
  <c r="N320" i="1" s="1"/>
  <c r="M320" i="1"/>
  <c r="M319" i="1"/>
  <c r="F321" i="1"/>
  <c r="G321" i="1"/>
  <c r="J321" i="1"/>
  <c r="H322" i="1"/>
  <c r="D322" i="1"/>
  <c r="B324" i="1"/>
  <c r="C323" i="1"/>
  <c r="P242" i="2" l="1"/>
  <c r="M322" i="2"/>
  <c r="F323" i="2"/>
  <c r="K323" i="2"/>
  <c r="C324" i="2"/>
  <c r="E324" i="2" s="1"/>
  <c r="L324" i="2" s="1"/>
  <c r="D324" i="2"/>
  <c r="G322" i="2"/>
  <c r="B325" i="2"/>
  <c r="K321" i="1"/>
  <c r="N321" i="1" s="1"/>
  <c r="F322" i="1"/>
  <c r="G322" i="1"/>
  <c r="J322" i="1"/>
  <c r="D323" i="1"/>
  <c r="G323" i="1" s="1"/>
  <c r="H323" i="1"/>
  <c r="B325" i="1"/>
  <c r="C324" i="1"/>
  <c r="P243" i="2" l="1"/>
  <c r="M323" i="2"/>
  <c r="F324" i="2"/>
  <c r="K324" i="2"/>
  <c r="C325" i="2"/>
  <c r="E325" i="2" s="1"/>
  <c r="L325" i="2" s="1"/>
  <c r="D325" i="2"/>
  <c r="G323" i="2"/>
  <c r="B326" i="2"/>
  <c r="K322" i="1"/>
  <c r="N322" i="1" s="1"/>
  <c r="M321" i="1"/>
  <c r="J323" i="1"/>
  <c r="H324" i="1"/>
  <c r="D324" i="1"/>
  <c r="F323" i="1"/>
  <c r="B326" i="1"/>
  <c r="C325" i="1"/>
  <c r="P244" i="2" l="1"/>
  <c r="M324" i="2"/>
  <c r="F325" i="2"/>
  <c r="K325" i="2"/>
  <c r="C326" i="2"/>
  <c r="E326" i="2" s="1"/>
  <c r="L326" i="2" s="1"/>
  <c r="D326" i="2"/>
  <c r="G324" i="2"/>
  <c r="B327" i="2"/>
  <c r="K323" i="1"/>
  <c r="N323" i="1" s="1"/>
  <c r="M323" i="1"/>
  <c r="M322" i="1"/>
  <c r="J324" i="1"/>
  <c r="F324" i="1"/>
  <c r="G324" i="1"/>
  <c r="H325" i="1"/>
  <c r="J325" i="1" s="1"/>
  <c r="D325" i="1"/>
  <c r="B327" i="1"/>
  <c r="C326" i="1"/>
  <c r="P245" i="2" l="1"/>
  <c r="M325" i="2"/>
  <c r="F326" i="2"/>
  <c r="K326" i="2"/>
  <c r="C327" i="2"/>
  <c r="E327" i="2" s="1"/>
  <c r="L327" i="2" s="1"/>
  <c r="D327" i="2"/>
  <c r="B328" i="2"/>
  <c r="G325" i="2"/>
  <c r="K324" i="1"/>
  <c r="N324" i="1" s="1"/>
  <c r="F325" i="1"/>
  <c r="G325" i="1"/>
  <c r="H326" i="1"/>
  <c r="D326" i="1"/>
  <c r="B328" i="1"/>
  <c r="C327" i="1"/>
  <c r="P246" i="2" l="1"/>
  <c r="M326" i="2"/>
  <c r="F327" i="2"/>
  <c r="K327" i="2"/>
  <c r="C328" i="2"/>
  <c r="E328" i="2" s="1"/>
  <c r="L328" i="2" s="1"/>
  <c r="D328" i="2"/>
  <c r="B329" i="2"/>
  <c r="G326" i="2"/>
  <c r="M324" i="1"/>
  <c r="K325" i="1"/>
  <c r="F326" i="1"/>
  <c r="G326" i="1"/>
  <c r="J326" i="1"/>
  <c r="H327" i="1"/>
  <c r="J327" i="1" s="1"/>
  <c r="D327" i="1"/>
  <c r="B329" i="1"/>
  <c r="C328" i="1"/>
  <c r="P247" i="2" l="1"/>
  <c r="M327" i="2"/>
  <c r="F328" i="2"/>
  <c r="K328" i="2"/>
  <c r="C329" i="2"/>
  <c r="E329" i="2" s="1"/>
  <c r="L329" i="2" s="1"/>
  <c r="D329" i="2"/>
  <c r="G327" i="2"/>
  <c r="B330" i="2"/>
  <c r="N325" i="1"/>
  <c r="M325" i="1"/>
  <c r="K326" i="1"/>
  <c r="N326" i="1" s="1"/>
  <c r="F327" i="1"/>
  <c r="G327" i="1"/>
  <c r="H328" i="1"/>
  <c r="D328" i="1"/>
  <c r="B330" i="1"/>
  <c r="C329" i="1"/>
  <c r="P248" i="2" l="1"/>
  <c r="M328" i="2"/>
  <c r="F329" i="2"/>
  <c r="K329" i="2"/>
  <c r="C330" i="2"/>
  <c r="E330" i="2" s="1"/>
  <c r="L330" i="2" s="1"/>
  <c r="D330" i="2"/>
  <c r="G328" i="2"/>
  <c r="B331" i="2"/>
  <c r="K327" i="1"/>
  <c r="M326" i="1"/>
  <c r="F328" i="1"/>
  <c r="G328" i="1"/>
  <c r="J328" i="1"/>
  <c r="H329" i="1"/>
  <c r="J329" i="1" s="1"/>
  <c r="D329" i="1"/>
  <c r="B331" i="1"/>
  <c r="C330" i="1"/>
  <c r="P249" i="2" l="1"/>
  <c r="M329" i="2"/>
  <c r="F330" i="2"/>
  <c r="K330" i="2"/>
  <c r="C331" i="2"/>
  <c r="E331" i="2" s="1"/>
  <c r="L331" i="2" s="1"/>
  <c r="D331" i="2"/>
  <c r="B332" i="2"/>
  <c r="G329" i="2"/>
  <c r="K328" i="1"/>
  <c r="N328" i="1" s="1"/>
  <c r="N327" i="1"/>
  <c r="M327" i="1"/>
  <c r="M328" i="1"/>
  <c r="F329" i="1"/>
  <c r="K329" i="1" s="1"/>
  <c r="N329" i="1" s="1"/>
  <c r="G329" i="1"/>
  <c r="H330" i="1"/>
  <c r="J330" i="1" s="1"/>
  <c r="D330" i="1"/>
  <c r="B332" i="1"/>
  <c r="C331" i="1"/>
  <c r="P250" i="2" l="1"/>
  <c r="M330" i="2"/>
  <c r="F331" i="2"/>
  <c r="K331" i="2"/>
  <c r="C332" i="2"/>
  <c r="E332" i="2" s="1"/>
  <c r="L332" i="2" s="1"/>
  <c r="D332" i="2"/>
  <c r="G330" i="2"/>
  <c r="B333" i="2"/>
  <c r="M329" i="1"/>
  <c r="F330" i="1"/>
  <c r="G330" i="1"/>
  <c r="D331" i="1"/>
  <c r="H331" i="1"/>
  <c r="J331" i="1" s="1"/>
  <c r="B333" i="1"/>
  <c r="C332" i="1"/>
  <c r="P251" i="2" l="1"/>
  <c r="M331" i="2"/>
  <c r="F332" i="2"/>
  <c r="K332" i="2"/>
  <c r="C333" i="2"/>
  <c r="E333" i="2" s="1"/>
  <c r="L333" i="2" s="1"/>
  <c r="D333" i="2"/>
  <c r="G331" i="2"/>
  <c r="B334" i="2"/>
  <c r="K330" i="1"/>
  <c r="F331" i="1"/>
  <c r="K331" i="1" s="1"/>
  <c r="N331" i="1" s="1"/>
  <c r="G331" i="1"/>
  <c r="D332" i="1"/>
  <c r="H332" i="1"/>
  <c r="J332" i="1" s="1"/>
  <c r="B334" i="1"/>
  <c r="C333" i="1"/>
  <c r="P252" i="2" l="1"/>
  <c r="M332" i="2"/>
  <c r="F333" i="2"/>
  <c r="K333" i="2"/>
  <c r="C334" i="2"/>
  <c r="E334" i="2" s="1"/>
  <c r="L334" i="2" s="1"/>
  <c r="D334" i="2"/>
  <c r="B335" i="2"/>
  <c r="G332" i="2"/>
  <c r="M331" i="1"/>
  <c r="N330" i="1"/>
  <c r="M330" i="1"/>
  <c r="F332" i="1"/>
  <c r="K332" i="1" s="1"/>
  <c r="N332" i="1" s="1"/>
  <c r="G332" i="1"/>
  <c r="D333" i="1"/>
  <c r="G333" i="1" s="1"/>
  <c r="H333" i="1"/>
  <c r="J333" i="1" s="1"/>
  <c r="B335" i="1"/>
  <c r="C334" i="1"/>
  <c r="P253" i="2" l="1"/>
  <c r="M333" i="2"/>
  <c r="F334" i="2"/>
  <c r="K334" i="2"/>
  <c r="C335" i="2"/>
  <c r="E335" i="2" s="1"/>
  <c r="L335" i="2" s="1"/>
  <c r="D335" i="2"/>
  <c r="G333" i="2"/>
  <c r="B336" i="2"/>
  <c r="M332" i="1"/>
  <c r="H334" i="1"/>
  <c r="J334" i="1" s="1"/>
  <c r="D334" i="1"/>
  <c r="F333" i="1"/>
  <c r="K333" i="1" s="1"/>
  <c r="N333" i="1" s="1"/>
  <c r="B336" i="1"/>
  <c r="C335" i="1"/>
  <c r="P254" i="2" l="1"/>
  <c r="M334" i="2"/>
  <c r="F335" i="2"/>
  <c r="K335" i="2"/>
  <c r="C336" i="2"/>
  <c r="E336" i="2" s="1"/>
  <c r="L336" i="2" s="1"/>
  <c r="D336" i="2"/>
  <c r="G334" i="2"/>
  <c r="B337" i="2"/>
  <c r="M333" i="1"/>
  <c r="F334" i="1"/>
  <c r="K334" i="1" s="1"/>
  <c r="N334" i="1" s="1"/>
  <c r="G334" i="1"/>
  <c r="H335" i="1"/>
  <c r="J335" i="1" s="1"/>
  <c r="D335" i="1"/>
  <c r="B337" i="1"/>
  <c r="C336" i="1"/>
  <c r="P255" i="2" l="1"/>
  <c r="M335" i="2"/>
  <c r="F336" i="2"/>
  <c r="K336" i="2"/>
  <c r="C337" i="2"/>
  <c r="E337" i="2" s="1"/>
  <c r="L337" i="2" s="1"/>
  <c r="D337" i="2"/>
  <c r="G335" i="2"/>
  <c r="B338" i="2"/>
  <c r="M334" i="1"/>
  <c r="F335" i="1"/>
  <c r="K335" i="1" s="1"/>
  <c r="N335" i="1" s="1"/>
  <c r="G335" i="1"/>
  <c r="H336" i="1"/>
  <c r="J336" i="1" s="1"/>
  <c r="D336" i="1"/>
  <c r="B338" i="1"/>
  <c r="C337" i="1"/>
  <c r="P256" i="2" l="1"/>
  <c r="M336" i="2"/>
  <c r="F337" i="2"/>
  <c r="K337" i="2"/>
  <c r="C338" i="2"/>
  <c r="E338" i="2" s="1"/>
  <c r="L338" i="2" s="1"/>
  <c r="D338" i="2"/>
  <c r="G336" i="2"/>
  <c r="B339" i="2"/>
  <c r="M335" i="1"/>
  <c r="F336" i="1"/>
  <c r="K336" i="1" s="1"/>
  <c r="N336" i="1" s="1"/>
  <c r="G336" i="1"/>
  <c r="H337" i="1"/>
  <c r="J337" i="1" s="1"/>
  <c r="D337" i="1"/>
  <c r="B339" i="1"/>
  <c r="C338" i="1"/>
  <c r="P257" i="2" l="1"/>
  <c r="M337" i="2"/>
  <c r="F338" i="2"/>
  <c r="K338" i="2"/>
  <c r="C339" i="2"/>
  <c r="E339" i="2" s="1"/>
  <c r="L339" i="2" s="1"/>
  <c r="D339" i="2"/>
  <c r="G337" i="2"/>
  <c r="B340" i="2"/>
  <c r="M336" i="1"/>
  <c r="F337" i="1"/>
  <c r="K337" i="1" s="1"/>
  <c r="N337" i="1" s="1"/>
  <c r="G337" i="1"/>
  <c r="H338" i="1"/>
  <c r="J338" i="1" s="1"/>
  <c r="D338" i="1"/>
  <c r="B340" i="1"/>
  <c r="C339" i="1"/>
  <c r="P258" i="2" l="1"/>
  <c r="M338" i="2"/>
  <c r="F339" i="2"/>
  <c r="K339" i="2"/>
  <c r="C340" i="2"/>
  <c r="E340" i="2" s="1"/>
  <c r="L340" i="2" s="1"/>
  <c r="D340" i="2"/>
  <c r="G338" i="2"/>
  <c r="B341" i="2"/>
  <c r="M337" i="1"/>
  <c r="F338" i="1"/>
  <c r="K338" i="1" s="1"/>
  <c r="N338" i="1" s="1"/>
  <c r="G338" i="1"/>
  <c r="D339" i="1"/>
  <c r="G339" i="1" s="1"/>
  <c r="H339" i="1"/>
  <c r="J339" i="1" s="1"/>
  <c r="B341" i="1"/>
  <c r="C340" i="1"/>
  <c r="P259" i="2" l="1"/>
  <c r="M339" i="2"/>
  <c r="F340" i="2"/>
  <c r="K340" i="2"/>
  <c r="C341" i="2"/>
  <c r="E341" i="2" s="1"/>
  <c r="L341" i="2" s="1"/>
  <c r="D341" i="2"/>
  <c r="G339" i="2"/>
  <c r="B342" i="2"/>
  <c r="M338" i="1"/>
  <c r="D340" i="1"/>
  <c r="G340" i="1" s="1"/>
  <c r="H340" i="1"/>
  <c r="J340" i="1" s="1"/>
  <c r="F339" i="1"/>
  <c r="K339" i="1" s="1"/>
  <c r="N339" i="1" s="1"/>
  <c r="B342" i="1"/>
  <c r="C341" i="1"/>
  <c r="P260" i="2" l="1"/>
  <c r="M340" i="2"/>
  <c r="F341" i="2"/>
  <c r="K341" i="2"/>
  <c r="C342" i="2"/>
  <c r="E342" i="2" s="1"/>
  <c r="L342" i="2" s="1"/>
  <c r="D342" i="2"/>
  <c r="G340" i="2"/>
  <c r="B343" i="2"/>
  <c r="M339" i="1"/>
  <c r="D341" i="1"/>
  <c r="G341" i="1" s="1"/>
  <c r="H341" i="1"/>
  <c r="J341" i="1" s="1"/>
  <c r="F340" i="1"/>
  <c r="K340" i="1" s="1"/>
  <c r="N340" i="1" s="1"/>
  <c r="B343" i="1"/>
  <c r="C342" i="1"/>
  <c r="P261" i="2" l="1"/>
  <c r="M341" i="2"/>
  <c r="F342" i="2"/>
  <c r="K342" i="2"/>
  <c r="C343" i="2"/>
  <c r="E343" i="2" s="1"/>
  <c r="L343" i="2" s="1"/>
  <c r="D343" i="2"/>
  <c r="B344" i="2"/>
  <c r="G341" i="2"/>
  <c r="M340" i="1"/>
  <c r="H342" i="1"/>
  <c r="J342" i="1" s="1"/>
  <c r="D342" i="1"/>
  <c r="F341" i="1"/>
  <c r="K341" i="1" s="1"/>
  <c r="N341" i="1" s="1"/>
  <c r="B344" i="1"/>
  <c r="C343" i="1"/>
  <c r="P262" i="2" l="1"/>
  <c r="M342" i="2"/>
  <c r="F343" i="2"/>
  <c r="K343" i="2"/>
  <c r="C344" i="2"/>
  <c r="E344" i="2" s="1"/>
  <c r="L344" i="2" s="1"/>
  <c r="D344" i="2"/>
  <c r="G342" i="2"/>
  <c r="B345" i="2"/>
  <c r="M341" i="1"/>
  <c r="F342" i="1"/>
  <c r="K342" i="1" s="1"/>
  <c r="N342" i="1" s="1"/>
  <c r="G342" i="1"/>
  <c r="H343" i="1"/>
  <c r="J343" i="1" s="1"/>
  <c r="D343" i="1"/>
  <c r="B345" i="1"/>
  <c r="C344" i="1"/>
  <c r="P263" i="2" l="1"/>
  <c r="M343" i="2"/>
  <c r="F344" i="2"/>
  <c r="K344" i="2"/>
  <c r="C345" i="2"/>
  <c r="E345" i="2" s="1"/>
  <c r="L345" i="2" s="1"/>
  <c r="D345" i="2"/>
  <c r="G343" i="2"/>
  <c r="B346" i="2"/>
  <c r="M342" i="1"/>
  <c r="F343" i="1"/>
  <c r="K343" i="1" s="1"/>
  <c r="N343" i="1" s="1"/>
  <c r="G343" i="1"/>
  <c r="D344" i="1"/>
  <c r="G344" i="1" s="1"/>
  <c r="H344" i="1"/>
  <c r="J344" i="1" s="1"/>
  <c r="B346" i="1"/>
  <c r="C345" i="1"/>
  <c r="P264" i="2" l="1"/>
  <c r="M344" i="2"/>
  <c r="F345" i="2"/>
  <c r="K345" i="2"/>
  <c r="C346" i="2"/>
  <c r="E346" i="2" s="1"/>
  <c r="L346" i="2" s="1"/>
  <c r="D346" i="2"/>
  <c r="G344" i="2"/>
  <c r="B347" i="2"/>
  <c r="M343" i="1"/>
  <c r="H345" i="1"/>
  <c r="J345" i="1" s="1"/>
  <c r="D345" i="1"/>
  <c r="F344" i="1"/>
  <c r="K344" i="1" s="1"/>
  <c r="N344" i="1" s="1"/>
  <c r="B347" i="1"/>
  <c r="C346" i="1"/>
  <c r="P265" i="2" l="1"/>
  <c r="M345" i="2"/>
  <c r="F346" i="2"/>
  <c r="K346" i="2"/>
  <c r="C347" i="2"/>
  <c r="E347" i="2" s="1"/>
  <c r="L347" i="2" s="1"/>
  <c r="D347" i="2"/>
  <c r="G345" i="2"/>
  <c r="B348" i="2"/>
  <c r="M344" i="1"/>
  <c r="F345" i="1"/>
  <c r="K345" i="1" s="1"/>
  <c r="N345" i="1" s="1"/>
  <c r="G345" i="1"/>
  <c r="H346" i="1"/>
  <c r="J346" i="1" s="1"/>
  <c r="D346" i="1"/>
  <c r="B348" i="1"/>
  <c r="C347" i="1"/>
  <c r="P266" i="2" l="1"/>
  <c r="M346" i="2"/>
  <c r="F347" i="2"/>
  <c r="K347" i="2"/>
  <c r="C348" i="2"/>
  <c r="E348" i="2" s="1"/>
  <c r="L348" i="2" s="1"/>
  <c r="D348" i="2"/>
  <c r="B349" i="2"/>
  <c r="G346" i="2"/>
  <c r="M345" i="1"/>
  <c r="F346" i="1"/>
  <c r="K346" i="1" s="1"/>
  <c r="N346" i="1" s="1"/>
  <c r="G346" i="1"/>
  <c r="D347" i="1"/>
  <c r="G347" i="1" s="1"/>
  <c r="H347" i="1"/>
  <c r="J347" i="1" s="1"/>
  <c r="B349" i="1"/>
  <c r="C348" i="1"/>
  <c r="P267" i="2" l="1"/>
  <c r="M347" i="2"/>
  <c r="F348" i="2"/>
  <c r="K348" i="2"/>
  <c r="C349" i="2"/>
  <c r="E349" i="2" s="1"/>
  <c r="L349" i="2" s="1"/>
  <c r="D349" i="2"/>
  <c r="G347" i="2"/>
  <c r="B350" i="2"/>
  <c r="M346" i="1"/>
  <c r="D348" i="1"/>
  <c r="G348" i="1" s="1"/>
  <c r="H348" i="1"/>
  <c r="J348" i="1" s="1"/>
  <c r="F347" i="1"/>
  <c r="K347" i="1" s="1"/>
  <c r="N347" i="1" s="1"/>
  <c r="B350" i="1"/>
  <c r="C349" i="1"/>
  <c r="P268" i="2" l="1"/>
  <c r="M348" i="2"/>
  <c r="F349" i="2"/>
  <c r="K349" i="2"/>
  <c r="C350" i="2"/>
  <c r="E350" i="2" s="1"/>
  <c r="L350" i="2" s="1"/>
  <c r="D350" i="2"/>
  <c r="G348" i="2"/>
  <c r="B351" i="2"/>
  <c r="M347" i="1"/>
  <c r="D349" i="1"/>
  <c r="G349" i="1" s="1"/>
  <c r="H349" i="1"/>
  <c r="J349" i="1" s="1"/>
  <c r="F348" i="1"/>
  <c r="K348" i="1" s="1"/>
  <c r="N348" i="1" s="1"/>
  <c r="B351" i="1"/>
  <c r="C350" i="1"/>
  <c r="P269" i="2" l="1"/>
  <c r="M349" i="2"/>
  <c r="F350" i="2"/>
  <c r="K350" i="2"/>
  <c r="C351" i="2"/>
  <c r="E351" i="2" s="1"/>
  <c r="L351" i="2" s="1"/>
  <c r="D351" i="2"/>
  <c r="B352" i="2"/>
  <c r="G349" i="2"/>
  <c r="M348" i="1"/>
  <c r="H350" i="1"/>
  <c r="J350" i="1" s="1"/>
  <c r="D350" i="1"/>
  <c r="F349" i="1"/>
  <c r="K349" i="1" s="1"/>
  <c r="N349" i="1" s="1"/>
  <c r="B352" i="1"/>
  <c r="C351" i="1"/>
  <c r="P270" i="2" l="1"/>
  <c r="M350" i="2"/>
  <c r="F351" i="2"/>
  <c r="K351" i="2"/>
  <c r="C352" i="2"/>
  <c r="E352" i="2" s="1"/>
  <c r="L352" i="2" s="1"/>
  <c r="D352" i="2"/>
  <c r="G350" i="2"/>
  <c r="B353" i="2"/>
  <c r="M349" i="1"/>
  <c r="F350" i="1"/>
  <c r="K350" i="1" s="1"/>
  <c r="N350" i="1" s="1"/>
  <c r="G350" i="1"/>
  <c r="H351" i="1"/>
  <c r="J351" i="1" s="1"/>
  <c r="D351" i="1"/>
  <c r="B353" i="1"/>
  <c r="C352" i="1"/>
  <c r="P271" i="2" l="1"/>
  <c r="M351" i="2"/>
  <c r="F352" i="2"/>
  <c r="K352" i="2"/>
  <c r="C353" i="2"/>
  <c r="E353" i="2" s="1"/>
  <c r="L353" i="2" s="1"/>
  <c r="D353" i="2"/>
  <c r="B354" i="2"/>
  <c r="G351" i="2"/>
  <c r="M350" i="1"/>
  <c r="F351" i="1"/>
  <c r="K351" i="1" s="1"/>
  <c r="N351" i="1" s="1"/>
  <c r="G351" i="1"/>
  <c r="D352" i="1"/>
  <c r="G352" i="1" s="1"/>
  <c r="H352" i="1"/>
  <c r="J352" i="1" s="1"/>
  <c r="B354" i="1"/>
  <c r="C353" i="1"/>
  <c r="P272" i="2" l="1"/>
  <c r="M352" i="2"/>
  <c r="F353" i="2"/>
  <c r="K353" i="2"/>
  <c r="C354" i="2"/>
  <c r="E354" i="2" s="1"/>
  <c r="L354" i="2" s="1"/>
  <c r="D354" i="2"/>
  <c r="B355" i="2"/>
  <c r="G352" i="2"/>
  <c r="M351" i="1"/>
  <c r="D353" i="1"/>
  <c r="G353" i="1" s="1"/>
  <c r="H353" i="1"/>
  <c r="J353" i="1" s="1"/>
  <c r="F352" i="1"/>
  <c r="K352" i="1" s="1"/>
  <c r="N352" i="1" s="1"/>
  <c r="B355" i="1"/>
  <c r="C354" i="1"/>
  <c r="P273" i="2" l="1"/>
  <c r="M353" i="2"/>
  <c r="F354" i="2"/>
  <c r="K354" i="2"/>
  <c r="C355" i="2"/>
  <c r="E355" i="2" s="1"/>
  <c r="L355" i="2" s="1"/>
  <c r="D355" i="2"/>
  <c r="B356" i="2"/>
  <c r="G353" i="2"/>
  <c r="M352" i="1"/>
  <c r="H354" i="1"/>
  <c r="J354" i="1" s="1"/>
  <c r="D354" i="1"/>
  <c r="F353" i="1"/>
  <c r="K353" i="1" s="1"/>
  <c r="N353" i="1" s="1"/>
  <c r="B356" i="1"/>
  <c r="C355" i="1"/>
  <c r="P274" i="2" l="1"/>
  <c r="M354" i="2"/>
  <c r="F355" i="2"/>
  <c r="K355" i="2"/>
  <c r="C356" i="2"/>
  <c r="E356" i="2" s="1"/>
  <c r="L356" i="2" s="1"/>
  <c r="D356" i="2"/>
  <c r="G354" i="2"/>
  <c r="B357" i="2"/>
  <c r="M353" i="1"/>
  <c r="F354" i="1"/>
  <c r="K354" i="1" s="1"/>
  <c r="N354" i="1" s="1"/>
  <c r="G354" i="1"/>
  <c r="D355" i="1"/>
  <c r="G355" i="1" s="1"/>
  <c r="H355" i="1"/>
  <c r="J355" i="1" s="1"/>
  <c r="B357" i="1"/>
  <c r="C356" i="1"/>
  <c r="P275" i="2" l="1"/>
  <c r="M355" i="2"/>
  <c r="F356" i="2"/>
  <c r="K356" i="2"/>
  <c r="C357" i="2"/>
  <c r="E357" i="2" s="1"/>
  <c r="L357" i="2" s="1"/>
  <c r="D357" i="2"/>
  <c r="G355" i="2"/>
  <c r="B358" i="2"/>
  <c r="M354" i="1"/>
  <c r="H356" i="1"/>
  <c r="J356" i="1" s="1"/>
  <c r="D356" i="1"/>
  <c r="F355" i="1"/>
  <c r="K355" i="1" s="1"/>
  <c r="N355" i="1" s="1"/>
  <c r="B358" i="1"/>
  <c r="C357" i="1"/>
  <c r="P276" i="2" l="1"/>
  <c r="M356" i="2"/>
  <c r="F357" i="2"/>
  <c r="K357" i="2"/>
  <c r="C358" i="2"/>
  <c r="E358" i="2" s="1"/>
  <c r="L358" i="2" s="1"/>
  <c r="D358" i="2"/>
  <c r="B359" i="2"/>
  <c r="G356" i="2"/>
  <c r="M355" i="1"/>
  <c r="F356" i="1"/>
  <c r="K356" i="1" s="1"/>
  <c r="N356" i="1" s="1"/>
  <c r="G356" i="1"/>
  <c r="H357" i="1"/>
  <c r="J357" i="1" s="1"/>
  <c r="D357" i="1"/>
  <c r="B359" i="1"/>
  <c r="C358" i="1"/>
  <c r="P277" i="2" l="1"/>
  <c r="M357" i="2"/>
  <c r="F358" i="2"/>
  <c r="K358" i="2"/>
  <c r="C359" i="2"/>
  <c r="E359" i="2" s="1"/>
  <c r="L359" i="2" s="1"/>
  <c r="D359" i="2"/>
  <c r="B360" i="2"/>
  <c r="G357" i="2"/>
  <c r="M356" i="1"/>
  <c r="F357" i="1"/>
  <c r="K357" i="1" s="1"/>
  <c r="N357" i="1" s="1"/>
  <c r="G357" i="1"/>
  <c r="H358" i="1"/>
  <c r="J358" i="1" s="1"/>
  <c r="D358" i="1"/>
  <c r="B360" i="1"/>
  <c r="C359" i="1"/>
  <c r="P278" i="2" l="1"/>
  <c r="M358" i="2"/>
  <c r="F359" i="2"/>
  <c r="K359" i="2"/>
  <c r="C360" i="2"/>
  <c r="E360" i="2" s="1"/>
  <c r="L360" i="2" s="1"/>
  <c r="D360" i="2"/>
  <c r="G358" i="2"/>
  <c r="B361" i="2"/>
  <c r="M357" i="1"/>
  <c r="F358" i="1"/>
  <c r="K358" i="1" s="1"/>
  <c r="N358" i="1" s="1"/>
  <c r="G358" i="1"/>
  <c r="H359" i="1"/>
  <c r="J359" i="1" s="1"/>
  <c r="D359" i="1"/>
  <c r="B361" i="1"/>
  <c r="C360" i="1"/>
  <c r="P279" i="2" l="1"/>
  <c r="M359" i="2"/>
  <c r="F360" i="2"/>
  <c r="K360" i="2"/>
  <c r="C361" i="2"/>
  <c r="E361" i="2" s="1"/>
  <c r="L361" i="2" s="1"/>
  <c r="D361" i="2"/>
  <c r="G359" i="2"/>
  <c r="B362" i="2"/>
  <c r="M358" i="1"/>
  <c r="F359" i="1"/>
  <c r="K359" i="1" s="1"/>
  <c r="N359" i="1" s="1"/>
  <c r="G359" i="1"/>
  <c r="D360" i="1"/>
  <c r="G360" i="1" s="1"/>
  <c r="H360" i="1"/>
  <c r="J360" i="1" s="1"/>
  <c r="B362" i="1"/>
  <c r="C361" i="1"/>
  <c r="P280" i="2" l="1"/>
  <c r="M360" i="2"/>
  <c r="F361" i="2"/>
  <c r="K361" i="2"/>
  <c r="C362" i="2"/>
  <c r="E362" i="2" s="1"/>
  <c r="L362" i="2" s="1"/>
  <c r="D362" i="2"/>
  <c r="G360" i="2"/>
  <c r="B363" i="2"/>
  <c r="M359" i="1"/>
  <c r="H361" i="1"/>
  <c r="J361" i="1" s="1"/>
  <c r="D361" i="1"/>
  <c r="F360" i="1"/>
  <c r="K360" i="1" s="1"/>
  <c r="N360" i="1" s="1"/>
  <c r="B363" i="1"/>
  <c r="C362" i="1"/>
  <c r="P281" i="2" l="1"/>
  <c r="M361" i="2"/>
  <c r="F362" i="2"/>
  <c r="K362" i="2"/>
  <c r="C363" i="2"/>
  <c r="E363" i="2" s="1"/>
  <c r="L363" i="2" s="1"/>
  <c r="D363" i="2"/>
  <c r="G361" i="2"/>
  <c r="B364" i="2"/>
  <c r="M360" i="1"/>
  <c r="F361" i="1"/>
  <c r="K361" i="1" s="1"/>
  <c r="N361" i="1" s="1"/>
  <c r="G361" i="1"/>
  <c r="H362" i="1"/>
  <c r="J362" i="1" s="1"/>
  <c r="D362" i="1"/>
  <c r="B364" i="1"/>
  <c r="C363" i="1"/>
  <c r="P282" i="2" l="1"/>
  <c r="M362" i="2"/>
  <c r="F363" i="2"/>
  <c r="K363" i="2"/>
  <c r="C364" i="2"/>
  <c r="E364" i="2" s="1"/>
  <c r="L364" i="2" s="1"/>
  <c r="D364" i="2"/>
  <c r="G362" i="2"/>
  <c r="B365" i="2"/>
  <c r="M361" i="1"/>
  <c r="F362" i="1"/>
  <c r="K362" i="1" s="1"/>
  <c r="N362" i="1" s="1"/>
  <c r="G362" i="1"/>
  <c r="D363" i="1"/>
  <c r="G363" i="1" s="1"/>
  <c r="H363" i="1"/>
  <c r="J363" i="1" s="1"/>
  <c r="B365" i="1"/>
  <c r="C364" i="1"/>
  <c r="P283" i="2" l="1"/>
  <c r="M363" i="2"/>
  <c r="F364" i="2"/>
  <c r="K364" i="2"/>
  <c r="C365" i="2"/>
  <c r="E365" i="2" s="1"/>
  <c r="L365" i="2" s="1"/>
  <c r="D365" i="2"/>
  <c r="G363" i="2"/>
  <c r="B366" i="2"/>
  <c r="M362" i="1"/>
  <c r="D364" i="1"/>
  <c r="G364" i="1" s="1"/>
  <c r="H364" i="1"/>
  <c r="J364" i="1" s="1"/>
  <c r="F363" i="1"/>
  <c r="K363" i="1" s="1"/>
  <c r="N363" i="1" s="1"/>
  <c r="B366" i="1"/>
  <c r="C365" i="1"/>
  <c r="P284" i="2" l="1"/>
  <c r="M364" i="2"/>
  <c r="F365" i="2"/>
  <c r="K365" i="2"/>
  <c r="C366" i="2"/>
  <c r="E366" i="2" s="1"/>
  <c r="L366" i="2" s="1"/>
  <c r="D366" i="2"/>
  <c r="G364" i="2"/>
  <c r="B367" i="2"/>
  <c r="M363" i="1"/>
  <c r="D365" i="1"/>
  <c r="G365" i="1" s="1"/>
  <c r="H365" i="1"/>
  <c r="J365" i="1" s="1"/>
  <c r="F364" i="1"/>
  <c r="K364" i="1" s="1"/>
  <c r="N364" i="1" s="1"/>
  <c r="B367" i="1"/>
  <c r="C366" i="1"/>
  <c r="P285" i="2" l="1"/>
  <c r="M365" i="2"/>
  <c r="F366" i="2"/>
  <c r="K366" i="2"/>
  <c r="C367" i="2"/>
  <c r="E367" i="2" s="1"/>
  <c r="L367" i="2" s="1"/>
  <c r="D367" i="2"/>
  <c r="B368" i="2"/>
  <c r="G365" i="2"/>
  <c r="M364" i="1"/>
  <c r="H366" i="1"/>
  <c r="J366" i="1" s="1"/>
  <c r="D366" i="1"/>
  <c r="F365" i="1"/>
  <c r="K365" i="1" s="1"/>
  <c r="N365" i="1" s="1"/>
  <c r="B368" i="1"/>
  <c r="C367" i="1"/>
  <c r="P286" i="2" l="1"/>
  <c r="M366" i="2"/>
  <c r="F367" i="2"/>
  <c r="K367" i="2"/>
  <c r="C368" i="2"/>
  <c r="E368" i="2" s="1"/>
  <c r="L368" i="2" s="1"/>
  <c r="D368" i="2"/>
  <c r="G366" i="2"/>
  <c r="B369" i="2"/>
  <c r="M365" i="1"/>
  <c r="F366" i="1"/>
  <c r="K366" i="1" s="1"/>
  <c r="N366" i="1" s="1"/>
  <c r="G366" i="1"/>
  <c r="H367" i="1"/>
  <c r="J367" i="1" s="1"/>
  <c r="D367" i="1"/>
  <c r="B369" i="1"/>
  <c r="C368" i="1"/>
  <c r="P287" i="2" l="1"/>
  <c r="M367" i="2"/>
  <c r="F368" i="2"/>
  <c r="K368" i="2"/>
  <c r="C369" i="2"/>
  <c r="E369" i="2" s="1"/>
  <c r="L369" i="2" s="1"/>
  <c r="D369" i="2"/>
  <c r="B370" i="2"/>
  <c r="G367" i="2"/>
  <c r="M366" i="1"/>
  <c r="F367" i="1"/>
  <c r="K367" i="1" s="1"/>
  <c r="N367" i="1" s="1"/>
  <c r="G367" i="1"/>
  <c r="H368" i="1"/>
  <c r="J368" i="1" s="1"/>
  <c r="D368" i="1"/>
  <c r="B370" i="1"/>
  <c r="C369" i="1"/>
  <c r="P288" i="2" l="1"/>
  <c r="M368" i="2"/>
  <c r="F369" i="2"/>
  <c r="K369" i="2"/>
  <c r="C370" i="2"/>
  <c r="E370" i="2" s="1"/>
  <c r="L370" i="2" s="1"/>
  <c r="D370" i="2"/>
  <c r="G368" i="2"/>
  <c r="B371" i="2"/>
  <c r="M367" i="1"/>
  <c r="F368" i="1"/>
  <c r="K368" i="1" s="1"/>
  <c r="N368" i="1" s="1"/>
  <c r="G368" i="1"/>
  <c r="H369" i="1"/>
  <c r="J369" i="1" s="1"/>
  <c r="D369" i="1"/>
  <c r="B371" i="1"/>
  <c r="C370" i="1"/>
  <c r="P289" i="2" l="1"/>
  <c r="M369" i="2"/>
  <c r="F370" i="2"/>
  <c r="K370" i="2"/>
  <c r="C371" i="2"/>
  <c r="E371" i="2" s="1"/>
  <c r="L371" i="2" s="1"/>
  <c r="D371" i="2"/>
  <c r="B372" i="2"/>
  <c r="G369" i="2"/>
  <c r="M368" i="1"/>
  <c r="F369" i="1"/>
  <c r="K369" i="1" s="1"/>
  <c r="N369" i="1" s="1"/>
  <c r="G369" i="1"/>
  <c r="H370" i="1"/>
  <c r="J370" i="1" s="1"/>
  <c r="D370" i="1"/>
  <c r="B372" i="1"/>
  <c r="C371" i="1"/>
  <c r="P290" i="2" l="1"/>
  <c r="M370" i="2"/>
  <c r="F371" i="2"/>
  <c r="K371" i="2"/>
  <c r="C372" i="2"/>
  <c r="E372" i="2" s="1"/>
  <c r="L372" i="2" s="1"/>
  <c r="D372" i="2"/>
  <c r="G370" i="2"/>
  <c r="B373" i="2"/>
  <c r="M369" i="1"/>
  <c r="F370" i="1"/>
  <c r="K370" i="1" s="1"/>
  <c r="N370" i="1" s="1"/>
  <c r="G370" i="1"/>
  <c r="D371" i="1"/>
  <c r="G371" i="1" s="1"/>
  <c r="H371" i="1"/>
  <c r="J371" i="1" s="1"/>
  <c r="B373" i="1"/>
  <c r="C372" i="1"/>
  <c r="P291" i="2" l="1"/>
  <c r="M371" i="2"/>
  <c r="F372" i="2"/>
  <c r="K372" i="2"/>
  <c r="C373" i="2"/>
  <c r="E373" i="2" s="1"/>
  <c r="L373" i="2" s="1"/>
  <c r="D373" i="2"/>
  <c r="G371" i="2"/>
  <c r="B374" i="2"/>
  <c r="M370" i="1"/>
  <c r="D372" i="1"/>
  <c r="G372" i="1" s="1"/>
  <c r="H372" i="1"/>
  <c r="J372" i="1" s="1"/>
  <c r="F371" i="1"/>
  <c r="K371" i="1" s="1"/>
  <c r="N371" i="1" s="1"/>
  <c r="B374" i="1"/>
  <c r="C373" i="1"/>
  <c r="P292" i="2" l="1"/>
  <c r="M372" i="2"/>
  <c r="F373" i="2"/>
  <c r="K373" i="2"/>
  <c r="C374" i="2"/>
  <c r="E374" i="2" s="1"/>
  <c r="L374" i="2" s="1"/>
  <c r="D374" i="2"/>
  <c r="G372" i="2"/>
  <c r="B375" i="2"/>
  <c r="M371" i="1"/>
  <c r="D373" i="1"/>
  <c r="G373" i="1" s="1"/>
  <c r="H373" i="1"/>
  <c r="J373" i="1" s="1"/>
  <c r="F372" i="1"/>
  <c r="K372" i="1" s="1"/>
  <c r="N372" i="1" s="1"/>
  <c r="B375" i="1"/>
  <c r="C374" i="1"/>
  <c r="P293" i="2" l="1"/>
  <c r="M373" i="2"/>
  <c r="F374" i="2"/>
  <c r="K374" i="2"/>
  <c r="C375" i="2"/>
  <c r="E375" i="2" s="1"/>
  <c r="L375" i="2" s="1"/>
  <c r="D375" i="2"/>
  <c r="B376" i="2"/>
  <c r="G373" i="2"/>
  <c r="M372" i="1"/>
  <c r="H374" i="1"/>
  <c r="J374" i="1" s="1"/>
  <c r="D374" i="1"/>
  <c r="F373" i="1"/>
  <c r="K373" i="1" s="1"/>
  <c r="N373" i="1" s="1"/>
  <c r="B376" i="1"/>
  <c r="C375" i="1"/>
  <c r="P294" i="2" l="1"/>
  <c r="M374" i="2"/>
  <c r="F375" i="2"/>
  <c r="K375" i="2"/>
  <c r="C376" i="2"/>
  <c r="E376" i="2" s="1"/>
  <c r="L376" i="2" s="1"/>
  <c r="D376" i="2"/>
  <c r="B377" i="2"/>
  <c r="G374" i="2"/>
  <c r="M373" i="1"/>
  <c r="F374" i="1"/>
  <c r="K374" i="1" s="1"/>
  <c r="N374" i="1" s="1"/>
  <c r="G374" i="1"/>
  <c r="D375" i="1"/>
  <c r="G375" i="1" s="1"/>
  <c r="H375" i="1"/>
  <c r="J375" i="1" s="1"/>
  <c r="B377" i="1"/>
  <c r="C376" i="1"/>
  <c r="P295" i="2" l="1"/>
  <c r="M375" i="2"/>
  <c r="F376" i="2"/>
  <c r="K376" i="2"/>
  <c r="C377" i="2"/>
  <c r="E377" i="2" s="1"/>
  <c r="L377" i="2" s="1"/>
  <c r="D377" i="2"/>
  <c r="B378" i="2"/>
  <c r="G375" i="2"/>
  <c r="M374" i="1"/>
  <c r="D376" i="1"/>
  <c r="G376" i="1" s="1"/>
  <c r="H376" i="1"/>
  <c r="J376" i="1" s="1"/>
  <c r="F375" i="1"/>
  <c r="K375" i="1" s="1"/>
  <c r="N375" i="1" s="1"/>
  <c r="B378" i="1"/>
  <c r="C377" i="1"/>
  <c r="P296" i="2" l="1"/>
  <c r="M376" i="2"/>
  <c r="F377" i="2"/>
  <c r="K377" i="2"/>
  <c r="C378" i="2"/>
  <c r="E378" i="2" s="1"/>
  <c r="L378" i="2" s="1"/>
  <c r="D378" i="2"/>
  <c r="G376" i="2"/>
  <c r="B379" i="2"/>
  <c r="M375" i="1"/>
  <c r="H377" i="1"/>
  <c r="J377" i="1" s="1"/>
  <c r="D377" i="1"/>
  <c r="G377" i="1" s="1"/>
  <c r="F376" i="1"/>
  <c r="K376" i="1" s="1"/>
  <c r="N376" i="1" s="1"/>
  <c r="B379" i="1"/>
  <c r="C378" i="1"/>
  <c r="P297" i="2" l="1"/>
  <c r="M377" i="2"/>
  <c r="F378" i="2"/>
  <c r="K378" i="2"/>
  <c r="C379" i="2"/>
  <c r="E379" i="2" s="1"/>
  <c r="L379" i="2" s="1"/>
  <c r="D379" i="2"/>
  <c r="B380" i="2"/>
  <c r="G377" i="2"/>
  <c r="M376" i="1"/>
  <c r="H378" i="1"/>
  <c r="J378" i="1" s="1"/>
  <c r="D378" i="1"/>
  <c r="G378" i="1" s="1"/>
  <c r="F377" i="1"/>
  <c r="K377" i="1" s="1"/>
  <c r="N377" i="1" s="1"/>
  <c r="B380" i="1"/>
  <c r="C379" i="1"/>
  <c r="P298" i="2" l="1"/>
  <c r="M378" i="2"/>
  <c r="F379" i="2"/>
  <c r="K379" i="2"/>
  <c r="C380" i="2"/>
  <c r="E380" i="2" s="1"/>
  <c r="L380" i="2" s="1"/>
  <c r="D380" i="2"/>
  <c r="B381" i="2"/>
  <c r="G378" i="2"/>
  <c r="M377" i="1"/>
  <c r="D379" i="1"/>
  <c r="G379" i="1" s="1"/>
  <c r="H379" i="1"/>
  <c r="J379" i="1" s="1"/>
  <c r="F378" i="1"/>
  <c r="K378" i="1" s="1"/>
  <c r="N378" i="1" s="1"/>
  <c r="B381" i="1"/>
  <c r="C380" i="1"/>
  <c r="P299" i="2" l="1"/>
  <c r="M379" i="2"/>
  <c r="F380" i="2"/>
  <c r="K380" i="2"/>
  <c r="C381" i="2"/>
  <c r="E381" i="2" s="1"/>
  <c r="L381" i="2" s="1"/>
  <c r="D381" i="2"/>
  <c r="G379" i="2"/>
  <c r="B382" i="2"/>
  <c r="M378" i="1"/>
  <c r="D380" i="1"/>
  <c r="G380" i="1" s="1"/>
  <c r="H380" i="1"/>
  <c r="J380" i="1" s="1"/>
  <c r="F379" i="1"/>
  <c r="K379" i="1" s="1"/>
  <c r="N379" i="1" s="1"/>
  <c r="B382" i="1"/>
  <c r="C381" i="1"/>
  <c r="P300" i="2" l="1"/>
  <c r="M380" i="2"/>
  <c r="F381" i="2"/>
  <c r="K381" i="2"/>
  <c r="C382" i="2"/>
  <c r="E382" i="2" s="1"/>
  <c r="L382" i="2" s="1"/>
  <c r="D382" i="2"/>
  <c r="G380" i="2"/>
  <c r="B383" i="2"/>
  <c r="M379" i="1"/>
  <c r="D381" i="1"/>
  <c r="G381" i="1" s="1"/>
  <c r="H381" i="1"/>
  <c r="J381" i="1" s="1"/>
  <c r="F380" i="1"/>
  <c r="K380" i="1" s="1"/>
  <c r="N380" i="1" s="1"/>
  <c r="B383" i="1"/>
  <c r="C382" i="1"/>
  <c r="P301" i="2" l="1"/>
  <c r="M381" i="2"/>
  <c r="F382" i="2"/>
  <c r="K382" i="2"/>
  <c r="C383" i="2"/>
  <c r="E383" i="2" s="1"/>
  <c r="L383" i="2" s="1"/>
  <c r="D383" i="2"/>
  <c r="B384" i="2"/>
  <c r="G381" i="2"/>
  <c r="M380" i="1"/>
  <c r="H382" i="1"/>
  <c r="J382" i="1" s="1"/>
  <c r="D382" i="1"/>
  <c r="F381" i="1"/>
  <c r="K381" i="1" s="1"/>
  <c r="N381" i="1" s="1"/>
  <c r="B384" i="1"/>
  <c r="C383" i="1"/>
  <c r="P302" i="2" l="1"/>
  <c r="M382" i="2"/>
  <c r="F383" i="2"/>
  <c r="K383" i="2"/>
  <c r="C384" i="2"/>
  <c r="E384" i="2" s="1"/>
  <c r="L384" i="2" s="1"/>
  <c r="D384" i="2"/>
  <c r="G382" i="2"/>
  <c r="B385" i="2"/>
  <c r="M381" i="1"/>
  <c r="F382" i="1"/>
  <c r="K382" i="1" s="1"/>
  <c r="N382" i="1" s="1"/>
  <c r="G382" i="1"/>
  <c r="H383" i="1"/>
  <c r="J383" i="1" s="1"/>
  <c r="D383" i="1"/>
  <c r="B385" i="1"/>
  <c r="C384" i="1"/>
  <c r="P303" i="2" l="1"/>
  <c r="M383" i="2"/>
  <c r="F384" i="2"/>
  <c r="K384" i="2"/>
  <c r="C385" i="2"/>
  <c r="E385" i="2" s="1"/>
  <c r="L385" i="2" s="1"/>
  <c r="D385" i="2"/>
  <c r="G383" i="2"/>
  <c r="B386" i="2"/>
  <c r="M382" i="1"/>
  <c r="F383" i="1"/>
  <c r="K383" i="1" s="1"/>
  <c r="N383" i="1" s="1"/>
  <c r="G383" i="1"/>
  <c r="H384" i="1"/>
  <c r="J384" i="1" s="1"/>
  <c r="D384" i="1"/>
  <c r="B386" i="1"/>
  <c r="C385" i="1"/>
  <c r="P304" i="2" l="1"/>
  <c r="M384" i="2"/>
  <c r="F385" i="2"/>
  <c r="K385" i="2"/>
  <c r="C386" i="2"/>
  <c r="E386" i="2" s="1"/>
  <c r="L386" i="2" s="1"/>
  <c r="D386" i="2"/>
  <c r="G384" i="2"/>
  <c r="B387" i="2"/>
  <c r="M383" i="1"/>
  <c r="F384" i="1"/>
  <c r="K384" i="1" s="1"/>
  <c r="N384" i="1" s="1"/>
  <c r="G384" i="1"/>
  <c r="D385" i="1"/>
  <c r="G385" i="1" s="1"/>
  <c r="H385" i="1"/>
  <c r="J385" i="1" s="1"/>
  <c r="B387" i="1"/>
  <c r="C386" i="1"/>
  <c r="P305" i="2" l="1"/>
  <c r="M385" i="2"/>
  <c r="F386" i="2"/>
  <c r="K386" i="2"/>
  <c r="C387" i="2"/>
  <c r="E387" i="2" s="1"/>
  <c r="L387" i="2" s="1"/>
  <c r="D387" i="2"/>
  <c r="G385" i="2"/>
  <c r="B388" i="2"/>
  <c r="M384" i="1"/>
  <c r="H386" i="1"/>
  <c r="J386" i="1" s="1"/>
  <c r="D386" i="1"/>
  <c r="G386" i="1" s="1"/>
  <c r="F385" i="1"/>
  <c r="K385" i="1" s="1"/>
  <c r="N385" i="1" s="1"/>
  <c r="B388" i="1"/>
  <c r="C387" i="1"/>
  <c r="P306" i="2" l="1"/>
  <c r="M386" i="2"/>
  <c r="F387" i="2"/>
  <c r="K387" i="2"/>
  <c r="C388" i="2"/>
  <c r="E388" i="2" s="1"/>
  <c r="L388" i="2" s="1"/>
  <c r="D388" i="2"/>
  <c r="G386" i="2"/>
  <c r="B389" i="2"/>
  <c r="M385" i="1"/>
  <c r="D387" i="1"/>
  <c r="H387" i="1"/>
  <c r="J387" i="1" s="1"/>
  <c r="F386" i="1"/>
  <c r="K386" i="1" s="1"/>
  <c r="N386" i="1" s="1"/>
  <c r="B389" i="1"/>
  <c r="C388" i="1"/>
  <c r="P307" i="2" l="1"/>
  <c r="M387" i="2"/>
  <c r="F388" i="2"/>
  <c r="K388" i="2"/>
  <c r="C389" i="2"/>
  <c r="E389" i="2" s="1"/>
  <c r="L389" i="2" s="1"/>
  <c r="D389" i="2"/>
  <c r="G387" i="2"/>
  <c r="B390" i="2"/>
  <c r="M386" i="1"/>
  <c r="F387" i="1"/>
  <c r="K387" i="1" s="1"/>
  <c r="N387" i="1" s="1"/>
  <c r="G387" i="1"/>
  <c r="H388" i="1"/>
  <c r="J388" i="1" s="1"/>
  <c r="D388" i="1"/>
  <c r="B390" i="1"/>
  <c r="C389" i="1"/>
  <c r="P308" i="2" l="1"/>
  <c r="M388" i="2"/>
  <c r="F389" i="2"/>
  <c r="K389" i="2"/>
  <c r="C390" i="2"/>
  <c r="E390" i="2" s="1"/>
  <c r="L390" i="2" s="1"/>
  <c r="D390" i="2"/>
  <c r="G388" i="2"/>
  <c r="B391" i="2"/>
  <c r="M387" i="1"/>
  <c r="F388" i="1"/>
  <c r="K388" i="1" s="1"/>
  <c r="N388" i="1" s="1"/>
  <c r="G388" i="1"/>
  <c r="H389" i="1"/>
  <c r="J389" i="1" s="1"/>
  <c r="D389" i="1"/>
  <c r="B391" i="1"/>
  <c r="C390" i="1"/>
  <c r="P309" i="2" l="1"/>
  <c r="M389" i="2"/>
  <c r="F390" i="2"/>
  <c r="K390" i="2"/>
  <c r="C391" i="2"/>
  <c r="E391" i="2" s="1"/>
  <c r="L391" i="2" s="1"/>
  <c r="D391" i="2"/>
  <c r="B392" i="2"/>
  <c r="G389" i="2"/>
  <c r="M388" i="1"/>
  <c r="F389" i="1"/>
  <c r="K389" i="1" s="1"/>
  <c r="N389" i="1" s="1"/>
  <c r="G389" i="1"/>
  <c r="H390" i="1"/>
  <c r="J390" i="1" s="1"/>
  <c r="D390" i="1"/>
  <c r="B392" i="1"/>
  <c r="C391" i="1"/>
  <c r="P310" i="2" l="1"/>
  <c r="M390" i="2"/>
  <c r="F391" i="2"/>
  <c r="K391" i="2"/>
  <c r="C392" i="2"/>
  <c r="E392" i="2" s="1"/>
  <c r="L392" i="2" s="1"/>
  <c r="D392" i="2"/>
  <c r="G390" i="2"/>
  <c r="B393" i="2"/>
  <c r="M389" i="1"/>
  <c r="F390" i="1"/>
  <c r="K390" i="1" s="1"/>
  <c r="N390" i="1" s="1"/>
  <c r="G390" i="1"/>
  <c r="H391" i="1"/>
  <c r="J391" i="1" s="1"/>
  <c r="D391" i="1"/>
  <c r="B393" i="1"/>
  <c r="C392" i="1"/>
  <c r="P311" i="2" l="1"/>
  <c r="M391" i="2"/>
  <c r="F392" i="2"/>
  <c r="K392" i="2"/>
  <c r="C393" i="2"/>
  <c r="E393" i="2" s="1"/>
  <c r="L393" i="2" s="1"/>
  <c r="D393" i="2"/>
  <c r="G391" i="2"/>
  <c r="B394" i="2"/>
  <c r="M390" i="1"/>
  <c r="F391" i="1"/>
  <c r="K391" i="1" s="1"/>
  <c r="N391" i="1" s="1"/>
  <c r="G391" i="1"/>
  <c r="D392" i="1"/>
  <c r="G392" i="1" s="1"/>
  <c r="H392" i="1"/>
  <c r="J392" i="1" s="1"/>
  <c r="B394" i="1"/>
  <c r="C393" i="1"/>
  <c r="P312" i="2" l="1"/>
  <c r="M392" i="2"/>
  <c r="F393" i="2"/>
  <c r="K393" i="2"/>
  <c r="C394" i="2"/>
  <c r="E394" i="2" s="1"/>
  <c r="L394" i="2" s="1"/>
  <c r="D394" i="2"/>
  <c r="G392" i="2"/>
  <c r="B395" i="2"/>
  <c r="M391" i="1"/>
  <c r="H393" i="1"/>
  <c r="J393" i="1" s="1"/>
  <c r="D393" i="1"/>
  <c r="F392" i="1"/>
  <c r="K392" i="1" s="1"/>
  <c r="N392" i="1" s="1"/>
  <c r="B395" i="1"/>
  <c r="C394" i="1"/>
  <c r="P313" i="2" l="1"/>
  <c r="M393" i="2"/>
  <c r="F394" i="2"/>
  <c r="K394" i="2"/>
  <c r="C395" i="2"/>
  <c r="E395" i="2" s="1"/>
  <c r="L395" i="2" s="1"/>
  <c r="D395" i="2"/>
  <c r="B396" i="2"/>
  <c r="G393" i="2"/>
  <c r="M392" i="1"/>
  <c r="F393" i="1"/>
  <c r="K393" i="1" s="1"/>
  <c r="N393" i="1" s="1"/>
  <c r="G393" i="1"/>
  <c r="H394" i="1"/>
  <c r="J394" i="1" s="1"/>
  <c r="D394" i="1"/>
  <c r="B396" i="1"/>
  <c r="C395" i="1"/>
  <c r="P314" i="2" l="1"/>
  <c r="M394" i="2"/>
  <c r="F395" i="2"/>
  <c r="K395" i="2"/>
  <c r="C396" i="2"/>
  <c r="E396" i="2" s="1"/>
  <c r="L396" i="2" s="1"/>
  <c r="D396" i="2"/>
  <c r="G394" i="2"/>
  <c r="B397" i="2"/>
  <c r="M393" i="1"/>
  <c r="F394" i="1"/>
  <c r="K394" i="1" s="1"/>
  <c r="N394" i="1" s="1"/>
  <c r="G394" i="1"/>
  <c r="D395" i="1"/>
  <c r="G395" i="1" s="1"/>
  <c r="H395" i="1"/>
  <c r="J395" i="1" s="1"/>
  <c r="B397" i="1"/>
  <c r="C396" i="1"/>
  <c r="P315" i="2" l="1"/>
  <c r="M395" i="2"/>
  <c r="F396" i="2"/>
  <c r="K396" i="2"/>
  <c r="C397" i="2"/>
  <c r="E397" i="2" s="1"/>
  <c r="L397" i="2" s="1"/>
  <c r="D397" i="2"/>
  <c r="G395" i="2"/>
  <c r="B398" i="2"/>
  <c r="M394" i="1"/>
  <c r="D396" i="1"/>
  <c r="G396" i="1" s="1"/>
  <c r="H396" i="1"/>
  <c r="J396" i="1" s="1"/>
  <c r="F395" i="1"/>
  <c r="K395" i="1" s="1"/>
  <c r="N395" i="1" s="1"/>
  <c r="B398" i="1"/>
  <c r="C397" i="1"/>
  <c r="P316" i="2" l="1"/>
  <c r="M396" i="2"/>
  <c r="F397" i="2"/>
  <c r="K397" i="2"/>
  <c r="C398" i="2"/>
  <c r="E398" i="2" s="1"/>
  <c r="L398" i="2" s="1"/>
  <c r="D398" i="2"/>
  <c r="G396" i="2"/>
  <c r="B399" i="2"/>
  <c r="M395" i="1"/>
  <c r="D397" i="1"/>
  <c r="G397" i="1" s="1"/>
  <c r="H397" i="1"/>
  <c r="J397" i="1" s="1"/>
  <c r="F396" i="1"/>
  <c r="K396" i="1" s="1"/>
  <c r="N396" i="1" s="1"/>
  <c r="B399" i="1"/>
  <c r="C398" i="1"/>
  <c r="P317" i="2" l="1"/>
  <c r="M397" i="2"/>
  <c r="F398" i="2"/>
  <c r="K398" i="2"/>
  <c r="C399" i="2"/>
  <c r="E399" i="2" s="1"/>
  <c r="L399" i="2" s="1"/>
  <c r="D399" i="2"/>
  <c r="G397" i="2"/>
  <c r="B400" i="2"/>
  <c r="M396" i="1"/>
  <c r="H398" i="1"/>
  <c r="J398" i="1" s="1"/>
  <c r="D398" i="1"/>
  <c r="F397" i="1"/>
  <c r="K397" i="1" s="1"/>
  <c r="N397" i="1" s="1"/>
  <c r="B400" i="1"/>
  <c r="C399" i="1"/>
  <c r="P318" i="2" l="1"/>
  <c r="M398" i="2"/>
  <c r="F399" i="2"/>
  <c r="K399" i="2"/>
  <c r="C400" i="2"/>
  <c r="E400" i="2" s="1"/>
  <c r="L400" i="2" s="1"/>
  <c r="D400" i="2"/>
  <c r="G398" i="2"/>
  <c r="B401" i="2"/>
  <c r="M397" i="1"/>
  <c r="F398" i="1"/>
  <c r="K398" i="1" s="1"/>
  <c r="N398" i="1" s="1"/>
  <c r="G398" i="1"/>
  <c r="H399" i="1"/>
  <c r="J399" i="1" s="1"/>
  <c r="D399" i="1"/>
  <c r="G399" i="1" s="1"/>
  <c r="B401" i="1"/>
  <c r="C400" i="1"/>
  <c r="P319" i="2" l="1"/>
  <c r="M399" i="2"/>
  <c r="F400" i="2"/>
  <c r="K400" i="2"/>
  <c r="C401" i="2"/>
  <c r="E401" i="2" s="1"/>
  <c r="L401" i="2" s="1"/>
  <c r="D401" i="2"/>
  <c r="G399" i="2"/>
  <c r="B402" i="2"/>
  <c r="M398" i="1"/>
  <c r="D400" i="1"/>
  <c r="G400" i="1" s="1"/>
  <c r="H400" i="1"/>
  <c r="J400" i="1" s="1"/>
  <c r="F399" i="1"/>
  <c r="K399" i="1" s="1"/>
  <c r="N399" i="1" s="1"/>
  <c r="B402" i="1"/>
  <c r="C401" i="1"/>
  <c r="P320" i="2" l="1"/>
  <c r="M400" i="2"/>
  <c r="F401" i="2"/>
  <c r="K401" i="2"/>
  <c r="C402" i="2"/>
  <c r="E402" i="2" s="1"/>
  <c r="L402" i="2" s="1"/>
  <c r="D402" i="2"/>
  <c r="G400" i="2"/>
  <c r="B403" i="2"/>
  <c r="M399" i="1"/>
  <c r="H401" i="1"/>
  <c r="J401" i="1" s="1"/>
  <c r="D401" i="1"/>
  <c r="G401" i="1" s="1"/>
  <c r="F400" i="1"/>
  <c r="K400" i="1" s="1"/>
  <c r="N400" i="1" s="1"/>
  <c r="B403" i="1"/>
  <c r="C402" i="1"/>
  <c r="P321" i="2" l="1"/>
  <c r="M401" i="2"/>
  <c r="F402" i="2"/>
  <c r="K402" i="2"/>
  <c r="C403" i="2"/>
  <c r="E403" i="2" s="1"/>
  <c r="L403" i="2" s="1"/>
  <c r="D403" i="2"/>
  <c r="G401" i="2"/>
  <c r="B404" i="2"/>
  <c r="M400" i="1"/>
  <c r="H402" i="1"/>
  <c r="J402" i="1" s="1"/>
  <c r="D402" i="1"/>
  <c r="F401" i="1"/>
  <c r="K401" i="1" s="1"/>
  <c r="N401" i="1" s="1"/>
  <c r="B404" i="1"/>
  <c r="C404" i="1" s="1"/>
  <c r="C403" i="1"/>
  <c r="P322" i="2" l="1"/>
  <c r="M402" i="2"/>
  <c r="F403" i="2"/>
  <c r="K403" i="2"/>
  <c r="C404" i="2"/>
  <c r="E404" i="2" s="1"/>
  <c r="L404" i="2" s="1"/>
  <c r="D404" i="2"/>
  <c r="G402" i="2"/>
  <c r="B405" i="2"/>
  <c r="M401" i="1"/>
  <c r="F402" i="1"/>
  <c r="K402" i="1" s="1"/>
  <c r="N402" i="1" s="1"/>
  <c r="G402" i="1"/>
  <c r="D403" i="1"/>
  <c r="H403" i="1"/>
  <c r="J403" i="1" s="1"/>
  <c r="D404" i="1"/>
  <c r="G404" i="1" s="1"/>
  <c r="H404" i="1"/>
  <c r="J404" i="1" s="1"/>
  <c r="P323" i="2" l="1"/>
  <c r="M403" i="2"/>
  <c r="F404" i="2"/>
  <c r="G404" i="2" s="1"/>
  <c r="K404" i="2"/>
  <c r="C405" i="2"/>
  <c r="E405" i="2" s="1"/>
  <c r="L405" i="2" s="1"/>
  <c r="D405" i="2"/>
  <c r="B406" i="2"/>
  <c r="G403" i="2"/>
  <c r="M402" i="1"/>
  <c r="F403" i="1"/>
  <c r="K403" i="1" s="1"/>
  <c r="N403" i="1" s="1"/>
  <c r="G403" i="1"/>
  <c r="F404" i="1"/>
  <c r="K404" i="1" s="1"/>
  <c r="N404" i="1" s="1"/>
  <c r="P324" i="2" l="1"/>
  <c r="M404" i="2"/>
  <c r="F405" i="2"/>
  <c r="K405" i="2"/>
  <c r="C406" i="2"/>
  <c r="E406" i="2" s="1"/>
  <c r="L406" i="2" s="1"/>
  <c r="D406" i="2"/>
  <c r="M404" i="1"/>
  <c r="M403" i="1"/>
  <c r="P325" i="2" l="1"/>
  <c r="M405" i="2"/>
  <c r="F406" i="2"/>
  <c r="G406" i="2" s="1"/>
  <c r="K406" i="2"/>
  <c r="G405" i="2"/>
  <c r="P326" i="2" l="1"/>
  <c r="M406" i="2"/>
  <c r="P406" i="2" l="1"/>
  <c r="P328" i="2"/>
  <c r="P330" i="2"/>
  <c r="P327" i="2"/>
  <c r="P329" i="2"/>
  <c r="P331" i="2"/>
  <c r="P332" i="2"/>
  <c r="P333" i="2"/>
  <c r="P334" i="2"/>
  <c r="P336" i="2"/>
  <c r="P335" i="2"/>
  <c r="P337" i="2"/>
  <c r="P338" i="2"/>
  <c r="P339" i="2"/>
  <c r="P340" i="2"/>
  <c r="P342" i="2"/>
  <c r="P341" i="2"/>
  <c r="P343" i="2"/>
  <c r="P344" i="2"/>
  <c r="P346" i="2"/>
  <c r="P345" i="2"/>
  <c r="P347" i="2"/>
  <c r="P348" i="2"/>
  <c r="P349" i="2"/>
  <c r="P350" i="2"/>
  <c r="P351" i="2"/>
  <c r="P352" i="2"/>
  <c r="P353" i="2"/>
  <c r="P355" i="2"/>
  <c r="P354" i="2"/>
  <c r="P356" i="2"/>
  <c r="P357" i="2"/>
  <c r="P358" i="2"/>
  <c r="P360" i="2"/>
  <c r="P359" i="2"/>
  <c r="P361" i="2"/>
  <c r="P362" i="2"/>
  <c r="P364" i="2"/>
  <c r="P363" i="2"/>
  <c r="P366" i="2"/>
  <c r="P365" i="2"/>
  <c r="P367" i="2"/>
  <c r="P369" i="2"/>
  <c r="P368" i="2"/>
  <c r="P370" i="2"/>
  <c r="P371" i="2"/>
  <c r="P372" i="2"/>
  <c r="P374" i="2"/>
  <c r="P373" i="2"/>
  <c r="P376" i="2"/>
  <c r="P375" i="2"/>
  <c r="P377" i="2"/>
  <c r="P379" i="2"/>
  <c r="P378" i="2"/>
  <c r="P380" i="2"/>
  <c r="P381" i="2"/>
  <c r="P382" i="2"/>
  <c r="P384" i="2"/>
  <c r="P383" i="2"/>
  <c r="P385" i="2"/>
  <c r="P386" i="2"/>
  <c r="P388" i="2"/>
  <c r="P387" i="2"/>
  <c r="P389" i="2"/>
  <c r="P390" i="2"/>
  <c r="P391" i="2"/>
  <c r="P392" i="2"/>
  <c r="P393" i="2"/>
  <c r="P394" i="2"/>
  <c r="P395" i="2"/>
  <c r="P397" i="2"/>
  <c r="P396" i="2"/>
  <c r="P399" i="2"/>
  <c r="P398" i="2"/>
  <c r="P400" i="2"/>
  <c r="P402" i="2"/>
  <c r="P404" i="2"/>
  <c r="P403" i="2"/>
  <c r="P405" i="2"/>
  <c r="P401" i="2"/>
</calcChain>
</file>

<file path=xl/sharedStrings.xml><?xml version="1.0" encoding="utf-8"?>
<sst xmlns="http://schemas.openxmlformats.org/spreadsheetml/2006/main" count="38" uniqueCount="31">
  <si>
    <t>Time</t>
  </si>
  <si>
    <t>rad</t>
  </si>
  <si>
    <t>V(t)</t>
  </si>
  <si>
    <t>Vn</t>
  </si>
  <si>
    <t>In</t>
  </si>
  <si>
    <t>I(t)</t>
  </si>
  <si>
    <t>P(t)</t>
  </si>
  <si>
    <t>Vrms</t>
  </si>
  <si>
    <t>Power(V(t),2)</t>
  </si>
  <si>
    <t>Index</t>
  </si>
  <si>
    <t>Power(I(t),2)</t>
  </si>
  <si>
    <t>Irms</t>
  </si>
  <si>
    <t>AVG(P(t))</t>
  </si>
  <si>
    <t>S(t)</t>
  </si>
  <si>
    <t>Q(t)</t>
  </si>
  <si>
    <t>PF</t>
  </si>
  <si>
    <t>freq.</t>
  </si>
  <si>
    <t>sin(2*pi*f*t)</t>
  </si>
  <si>
    <t>phase</t>
  </si>
  <si>
    <t>sin(2*pi*f*t + phase)</t>
  </si>
  <si>
    <t>V(t)_Q15</t>
  </si>
  <si>
    <t>I(t)_Q15</t>
  </si>
  <si>
    <t>P(t)_Q15</t>
  </si>
  <si>
    <t>Q15</t>
  </si>
  <si>
    <t>V(t)_Q15^2</t>
  </si>
  <si>
    <t>I(t)_Q15^2</t>
  </si>
  <si>
    <t>V(RMS)</t>
  </si>
  <si>
    <t>I(RMS)</t>
  </si>
  <si>
    <t>P(AVG)</t>
  </si>
  <si>
    <t>N</t>
  </si>
  <si>
    <t>sin(2*pi*f*t + phase)_Q15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</si>
</sst>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B52B-A73B-4579-9BE6-EFEC1BF8A5FA}">
  <dimension ref="A1:N404"/>
  <sheetViews>
    <sheetView zoomScale="130" zoomScaleNormal="130" workbookViewId="0">
      <pane ySplit="3" topLeftCell="A72" activePane="bottomLeft" state="frozen"/>
      <selection pane="bottomLeft" sqref="A1:F1048576"/>
    </sheetView>
  </sheetViews>
  <sheetFormatPr defaultRowHeight="15" x14ac:dyDescent="0.25"/>
  <cols>
    <col min="5" max="5" width="9" customWidth="1"/>
    <col min="7" max="8" width="12.5703125" bestFit="1" customWidth="1"/>
    <col min="9" max="9" width="12.7109375" bestFit="1" customWidth="1"/>
  </cols>
  <sheetData>
    <row r="1" spans="1:14" x14ac:dyDescent="0.25">
      <c r="B1" t="s">
        <v>3</v>
      </c>
      <c r="C1">
        <v>1</v>
      </c>
    </row>
    <row r="2" spans="1:14" x14ac:dyDescent="0.25">
      <c r="B2" t="s">
        <v>4</v>
      </c>
      <c r="C2">
        <v>1</v>
      </c>
    </row>
    <row r="3" spans="1:14" x14ac:dyDescent="0.25">
      <c r="A3" t="s">
        <v>9</v>
      </c>
      <c r="B3" t="s">
        <v>0</v>
      </c>
      <c r="C3" t="s">
        <v>1</v>
      </c>
      <c r="D3" t="s">
        <v>2</v>
      </c>
      <c r="E3" t="s">
        <v>5</v>
      </c>
      <c r="F3" t="s">
        <v>6</v>
      </c>
      <c r="G3" t="s">
        <v>8</v>
      </c>
      <c r="H3" t="s">
        <v>10</v>
      </c>
      <c r="I3" t="s">
        <v>7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25">
      <c r="A4">
        <v>0</v>
      </c>
      <c r="B4">
        <v>0</v>
      </c>
      <c r="C4">
        <f>2*PI()*B4</f>
        <v>0</v>
      </c>
      <c r="D4">
        <f>$C$1*SIN(C4*50)</f>
        <v>0</v>
      </c>
      <c r="E4">
        <f>$C$2*SIN(C4*50 + PI()*30/180)</f>
        <v>0.49999999999999994</v>
      </c>
      <c r="F4">
        <f>D4*E4</f>
        <v>0</v>
      </c>
      <c r="G4">
        <f>POWER(D4,2)</f>
        <v>0</v>
      </c>
      <c r="H4">
        <f>POWER(E4,2)</f>
        <v>0.24999999999999994</v>
      </c>
    </row>
    <row r="5" spans="1:14" x14ac:dyDescent="0.25">
      <c r="A5">
        <f>A4+1</f>
        <v>1</v>
      </c>
      <c r="B5">
        <f>B4+(1/4000)</f>
        <v>2.5000000000000001E-4</v>
      </c>
      <c r="C5">
        <f t="shared" ref="C5:C68" si="0">2*PI()*B5</f>
        <v>1.5707963267948967E-3</v>
      </c>
      <c r="D5">
        <f t="shared" ref="D5:D68" si="1">$C$1*SIN(C5*50)</f>
        <v>7.8459095727844944E-2</v>
      </c>
      <c r="E5">
        <f t="shared" ref="E5:E68" si="2">$C$2*SIN(C5*50 + PI()*30/180)</f>
        <v>0.56640623692483283</v>
      </c>
      <c r="F5">
        <f t="shared" ref="F5:F68" si="3">D5*E5</f>
        <v>4.4439721163733882E-2</v>
      </c>
      <c r="G5">
        <f t="shared" ref="G5:G68" si="4">POWER(D5,2)</f>
        <v>6.1558297024311365E-3</v>
      </c>
      <c r="H5">
        <f t="shared" ref="H5:H68" si="5">POWER(E5,2)</f>
        <v>0.32081602522734987</v>
      </c>
    </row>
    <row r="6" spans="1:14" x14ac:dyDescent="0.25">
      <c r="A6">
        <f t="shared" ref="A6:A69" si="6">A5+1</f>
        <v>2</v>
      </c>
      <c r="B6">
        <f t="shared" ref="B6:B69" si="7">B5+(1/4000)</f>
        <v>5.0000000000000001E-4</v>
      </c>
      <c r="C6">
        <f t="shared" si="0"/>
        <v>3.1415926535897933E-3</v>
      </c>
      <c r="D6">
        <f t="shared" si="1"/>
        <v>0.15643446504023087</v>
      </c>
      <c r="E6">
        <f t="shared" si="2"/>
        <v>0.62932039104983739</v>
      </c>
      <c r="F6">
        <f t="shared" si="3"/>
        <v>9.8447398712790207E-2</v>
      </c>
      <c r="G6">
        <f t="shared" si="4"/>
        <v>2.4471741852423214E-2</v>
      </c>
      <c r="H6">
        <f t="shared" si="5"/>
        <v>0.39604415459112025</v>
      </c>
    </row>
    <row r="7" spans="1:14" x14ac:dyDescent="0.25">
      <c r="A7">
        <f t="shared" si="6"/>
        <v>3</v>
      </c>
      <c r="B7">
        <f t="shared" si="7"/>
        <v>7.5000000000000002E-4</v>
      </c>
      <c r="C7">
        <f t="shared" si="0"/>
        <v>4.7123889803846897E-3</v>
      </c>
      <c r="D7">
        <f t="shared" si="1"/>
        <v>0.23344536385590539</v>
      </c>
      <c r="E7">
        <f t="shared" si="2"/>
        <v>0.68835457569375391</v>
      </c>
      <c r="F7">
        <f t="shared" si="3"/>
        <v>0.16069318438470576</v>
      </c>
      <c r="G7">
        <f t="shared" si="4"/>
        <v>5.4496737905816058E-2</v>
      </c>
      <c r="H7">
        <f t="shared" si="5"/>
        <v>0.47383202187852796</v>
      </c>
    </row>
    <row r="8" spans="1:14" x14ac:dyDescent="0.25">
      <c r="A8">
        <f t="shared" si="6"/>
        <v>4</v>
      </c>
      <c r="B8">
        <f t="shared" si="7"/>
        <v>1E-3</v>
      </c>
      <c r="C8">
        <f t="shared" si="0"/>
        <v>6.2831853071795866E-3</v>
      </c>
      <c r="D8">
        <f t="shared" si="1"/>
        <v>0.3090169943749474</v>
      </c>
      <c r="E8">
        <f t="shared" si="2"/>
        <v>0.74314482547739413</v>
      </c>
      <c r="F8">
        <f t="shared" si="3"/>
        <v>0.22964438035431917</v>
      </c>
      <c r="G8">
        <f t="shared" si="4"/>
        <v>9.5491502812526274E-2</v>
      </c>
      <c r="H8">
        <f t="shared" si="5"/>
        <v>0.55226423163382654</v>
      </c>
    </row>
    <row r="9" spans="1:14" x14ac:dyDescent="0.25">
      <c r="A9">
        <f t="shared" si="6"/>
        <v>5</v>
      </c>
      <c r="B9">
        <f t="shared" si="7"/>
        <v>1.25E-3</v>
      </c>
      <c r="C9">
        <f t="shared" si="0"/>
        <v>7.8539816339744835E-3</v>
      </c>
      <c r="D9">
        <f t="shared" si="1"/>
        <v>0.38268343236508978</v>
      </c>
      <c r="E9">
        <f t="shared" si="2"/>
        <v>0.79335334029123517</v>
      </c>
      <c r="F9">
        <f t="shared" si="3"/>
        <v>0.30360317934095893</v>
      </c>
      <c r="G9">
        <f t="shared" si="4"/>
        <v>0.14644660940672624</v>
      </c>
      <c r="H9">
        <f t="shared" si="5"/>
        <v>0.62940952255126037</v>
      </c>
    </row>
    <row r="10" spans="1:14" x14ac:dyDescent="0.25">
      <c r="A10">
        <f t="shared" si="6"/>
        <v>6</v>
      </c>
      <c r="B10">
        <f t="shared" si="7"/>
        <v>1.5E-3</v>
      </c>
      <c r="C10">
        <f t="shared" si="0"/>
        <v>9.4247779607693795E-3</v>
      </c>
      <c r="D10">
        <f t="shared" si="1"/>
        <v>0.45399049973954675</v>
      </c>
      <c r="E10">
        <f t="shared" si="2"/>
        <v>0.83867056794542394</v>
      </c>
      <c r="F10">
        <f t="shared" si="3"/>
        <v>0.38074847025839254</v>
      </c>
      <c r="G10">
        <f t="shared" si="4"/>
        <v>0.2061073738537634</v>
      </c>
      <c r="H10">
        <f t="shared" si="5"/>
        <v>0.70336832153789997</v>
      </c>
    </row>
    <row r="11" spans="1:14" x14ac:dyDescent="0.25">
      <c r="A11">
        <f t="shared" si="6"/>
        <v>7</v>
      </c>
      <c r="B11">
        <f t="shared" si="7"/>
        <v>1.75E-3</v>
      </c>
      <c r="C11">
        <f t="shared" si="0"/>
        <v>1.0995574287564275E-2</v>
      </c>
      <c r="D11">
        <f t="shared" si="1"/>
        <v>0.5224985647159488</v>
      </c>
      <c r="E11">
        <f t="shared" si="2"/>
        <v>0.87881711266196527</v>
      </c>
      <c r="F11">
        <f t="shared" si="3"/>
        <v>0.45918068001369111</v>
      </c>
      <c r="G11">
        <f t="shared" si="4"/>
        <v>0.27300475013022651</v>
      </c>
      <c r="H11">
        <f t="shared" si="5"/>
        <v>0.77231951750751338</v>
      </c>
    </row>
    <row r="12" spans="1:14" x14ac:dyDescent="0.25">
      <c r="A12">
        <f t="shared" si="6"/>
        <v>8</v>
      </c>
      <c r="B12">
        <f t="shared" si="7"/>
        <v>2E-3</v>
      </c>
      <c r="C12">
        <f t="shared" si="0"/>
        <v>1.2566370614359173E-2</v>
      </c>
      <c r="D12">
        <f t="shared" si="1"/>
        <v>0.58778525229247314</v>
      </c>
      <c r="E12">
        <f t="shared" si="2"/>
        <v>0.91354545764260087</v>
      </c>
      <c r="F12">
        <f t="shared" si="3"/>
        <v>0.536968547301099</v>
      </c>
      <c r="G12">
        <f t="shared" si="4"/>
        <v>0.34549150281252627</v>
      </c>
      <c r="H12">
        <f t="shared" si="5"/>
        <v>0.83456530317942901</v>
      </c>
    </row>
    <row r="13" spans="1:14" x14ac:dyDescent="0.25">
      <c r="A13">
        <f t="shared" si="6"/>
        <v>9</v>
      </c>
      <c r="B13">
        <f t="shared" si="7"/>
        <v>2.2500000000000003E-3</v>
      </c>
      <c r="C13">
        <f t="shared" si="0"/>
        <v>1.4137166941154071E-2</v>
      </c>
      <c r="D13">
        <f t="shared" si="1"/>
        <v>0.64944804833018377</v>
      </c>
      <c r="E13">
        <f t="shared" si="2"/>
        <v>0.94264149109217843</v>
      </c>
      <c r="F13">
        <f t="shared" si="3"/>
        <v>0.61219667666486954</v>
      </c>
      <c r="G13">
        <f t="shared" si="4"/>
        <v>0.42178276747988469</v>
      </c>
      <c r="H13">
        <f t="shared" si="5"/>
        <v>0.88857298072848545</v>
      </c>
    </row>
    <row r="14" spans="1:14" x14ac:dyDescent="0.25">
      <c r="A14">
        <f t="shared" si="6"/>
        <v>10</v>
      </c>
      <c r="B14">
        <f t="shared" si="7"/>
        <v>2.5000000000000005E-3</v>
      </c>
      <c r="C14">
        <f t="shared" si="0"/>
        <v>1.5707963267948967E-2</v>
      </c>
      <c r="D14">
        <f t="shared" si="1"/>
        <v>0.70710678118654757</v>
      </c>
      <c r="E14">
        <f t="shared" si="2"/>
        <v>0.96592582628906831</v>
      </c>
      <c r="F14">
        <f t="shared" si="3"/>
        <v>0.68301270189221941</v>
      </c>
      <c r="G14">
        <f t="shared" si="4"/>
        <v>0.50000000000000011</v>
      </c>
      <c r="H14">
        <f t="shared" si="5"/>
        <v>0.93301270189221941</v>
      </c>
    </row>
    <row r="15" spans="1:14" x14ac:dyDescent="0.25">
      <c r="A15">
        <f t="shared" si="6"/>
        <v>11</v>
      </c>
      <c r="B15">
        <f t="shared" si="7"/>
        <v>2.7500000000000007E-3</v>
      </c>
      <c r="C15">
        <f t="shared" si="0"/>
        <v>1.7278759594743866E-2</v>
      </c>
      <c r="D15">
        <f t="shared" si="1"/>
        <v>0.76040596560003104</v>
      </c>
      <c r="E15">
        <f t="shared" si="2"/>
        <v>0.98325490756395462</v>
      </c>
      <c r="F15">
        <f t="shared" si="3"/>
        <v>0.74767289741713816</v>
      </c>
      <c r="G15">
        <f t="shared" si="4"/>
        <v>0.57821723252011559</v>
      </c>
      <c r="H15">
        <f t="shared" si="5"/>
        <v>0.96679021324860093</v>
      </c>
    </row>
    <row r="16" spans="1:14" x14ac:dyDescent="0.25">
      <c r="A16">
        <f t="shared" si="6"/>
        <v>12</v>
      </c>
      <c r="B16">
        <f t="shared" si="7"/>
        <v>3.0000000000000009E-3</v>
      </c>
      <c r="C16">
        <f t="shared" si="0"/>
        <v>1.8849555921538766E-2</v>
      </c>
      <c r="D16">
        <f t="shared" si="1"/>
        <v>0.80901699437494756</v>
      </c>
      <c r="E16">
        <f t="shared" si="2"/>
        <v>0.9945218953682734</v>
      </c>
      <c r="F16">
        <f t="shared" si="3"/>
        <v>0.80458511463091664</v>
      </c>
      <c r="G16">
        <f t="shared" si="4"/>
        <v>0.65450849718747395</v>
      </c>
      <c r="H16">
        <f t="shared" si="5"/>
        <v>0.98907380036690296</v>
      </c>
    </row>
    <row r="17" spans="1:8" x14ac:dyDescent="0.25">
      <c r="A17">
        <f t="shared" si="6"/>
        <v>13</v>
      </c>
      <c r="B17">
        <f t="shared" si="7"/>
        <v>3.2500000000000012E-3</v>
      </c>
      <c r="C17">
        <f t="shared" si="0"/>
        <v>2.0420352248333662E-2</v>
      </c>
      <c r="D17">
        <f t="shared" si="1"/>
        <v>0.8526401643540924</v>
      </c>
      <c r="E17">
        <f t="shared" si="2"/>
        <v>0.99965732497555726</v>
      </c>
      <c r="F17">
        <f t="shared" si="3"/>
        <v>0.85234798586493155</v>
      </c>
      <c r="G17">
        <f t="shared" si="4"/>
        <v>0.72699524986977371</v>
      </c>
      <c r="H17">
        <f t="shared" si="5"/>
        <v>0.99931476737728686</v>
      </c>
    </row>
    <row r="18" spans="1:8" x14ac:dyDescent="0.25">
      <c r="A18">
        <f t="shared" si="6"/>
        <v>14</v>
      </c>
      <c r="B18">
        <f t="shared" si="7"/>
        <v>3.5000000000000014E-3</v>
      </c>
      <c r="C18">
        <f t="shared" si="0"/>
        <v>2.1991148575128561E-2</v>
      </c>
      <c r="D18">
        <f t="shared" si="1"/>
        <v>0.89100652418836801</v>
      </c>
      <c r="E18">
        <f t="shared" si="2"/>
        <v>0.99862953475457383</v>
      </c>
      <c r="F18">
        <f t="shared" si="3"/>
        <v>0.8897854307135199</v>
      </c>
      <c r="G18">
        <f t="shared" si="4"/>
        <v>0.79389262614623679</v>
      </c>
      <c r="H18">
        <f t="shared" si="5"/>
        <v>0.99726094768413653</v>
      </c>
    </row>
    <row r="19" spans="1:8" x14ac:dyDescent="0.25">
      <c r="A19">
        <f t="shared" si="6"/>
        <v>15</v>
      </c>
      <c r="B19">
        <f t="shared" si="7"/>
        <v>3.7500000000000016E-3</v>
      </c>
      <c r="C19">
        <f t="shared" si="0"/>
        <v>2.3561944901923457E-2</v>
      </c>
      <c r="D19">
        <f t="shared" si="1"/>
        <v>0.92387953251128696</v>
      </c>
      <c r="E19">
        <f t="shared" si="2"/>
        <v>0.99144486137381038</v>
      </c>
      <c r="F19">
        <f t="shared" si="3"/>
        <v>0.91597561503675362</v>
      </c>
      <c r="G19">
        <f t="shared" si="4"/>
        <v>0.85355339059327417</v>
      </c>
      <c r="H19">
        <f t="shared" si="5"/>
        <v>0.9829629131445341</v>
      </c>
    </row>
    <row r="20" spans="1:8" x14ac:dyDescent="0.25">
      <c r="A20">
        <f t="shared" si="6"/>
        <v>16</v>
      </c>
      <c r="B20">
        <f t="shared" si="7"/>
        <v>4.0000000000000018E-3</v>
      </c>
      <c r="C20">
        <f t="shared" si="0"/>
        <v>2.5132741228718357E-2</v>
      </c>
      <c r="D20">
        <f t="shared" si="1"/>
        <v>0.95105651629515375</v>
      </c>
      <c r="E20">
        <f t="shared" si="2"/>
        <v>0.97814760073380547</v>
      </c>
      <c r="F20">
        <f t="shared" si="3"/>
        <v>0.93027364957635605</v>
      </c>
      <c r="G20">
        <f t="shared" si="4"/>
        <v>0.90450849718747406</v>
      </c>
      <c r="H20">
        <f t="shared" si="5"/>
        <v>0.95677272882130016</v>
      </c>
    </row>
    <row r="21" spans="1:8" x14ac:dyDescent="0.25">
      <c r="A21">
        <f t="shared" si="6"/>
        <v>17</v>
      </c>
      <c r="B21">
        <f t="shared" si="7"/>
        <v>4.250000000000002E-3</v>
      </c>
      <c r="C21">
        <f t="shared" si="0"/>
        <v>2.6703537555513253E-2</v>
      </c>
      <c r="D21">
        <f t="shared" si="1"/>
        <v>0.97236992039767678</v>
      </c>
      <c r="E21">
        <f t="shared" si="2"/>
        <v>0.95881973486819283</v>
      </c>
      <c r="F21">
        <f t="shared" si="3"/>
        <v>0.93232746926950627</v>
      </c>
      <c r="G21">
        <f t="shared" si="4"/>
        <v>0.94550326209418423</v>
      </c>
      <c r="H21">
        <f t="shared" si="5"/>
        <v>0.91933528397271158</v>
      </c>
    </row>
    <row r="22" spans="1:8" x14ac:dyDescent="0.25">
      <c r="A22">
        <f t="shared" si="6"/>
        <v>18</v>
      </c>
      <c r="B22">
        <f t="shared" si="7"/>
        <v>4.5000000000000023E-3</v>
      </c>
      <c r="C22">
        <f t="shared" si="0"/>
        <v>2.8274333882308152E-2</v>
      </c>
      <c r="D22">
        <f t="shared" si="1"/>
        <v>0.98768834059513777</v>
      </c>
      <c r="E22">
        <f t="shared" si="2"/>
        <v>0.93358042649720152</v>
      </c>
      <c r="F22">
        <f t="shared" si="3"/>
        <v>0.92208650225912192</v>
      </c>
      <c r="G22">
        <f t="shared" si="4"/>
        <v>0.97552825814757682</v>
      </c>
      <c r="H22">
        <f t="shared" si="5"/>
        <v>0.87157241273869668</v>
      </c>
    </row>
    <row r="23" spans="1:8" x14ac:dyDescent="0.25">
      <c r="A23">
        <f t="shared" si="6"/>
        <v>19</v>
      </c>
      <c r="B23">
        <f t="shared" si="7"/>
        <v>4.7500000000000025E-3</v>
      </c>
      <c r="C23">
        <f t="shared" si="0"/>
        <v>2.9845130209103052E-2</v>
      </c>
      <c r="D23">
        <f t="shared" si="1"/>
        <v>0.99691733373312807</v>
      </c>
      <c r="E23">
        <f t="shared" si="2"/>
        <v>0.9025852843498603</v>
      </c>
      <c r="F23">
        <f t="shared" si="3"/>
        <v>0.89980291514082</v>
      </c>
      <c r="G23">
        <f t="shared" si="4"/>
        <v>0.99384417029756911</v>
      </c>
      <c r="H23">
        <f t="shared" si="5"/>
        <v>0.8146601955249182</v>
      </c>
    </row>
    <row r="24" spans="1:8" x14ac:dyDescent="0.25">
      <c r="A24">
        <f t="shared" si="6"/>
        <v>20</v>
      </c>
      <c r="B24">
        <f t="shared" si="7"/>
        <v>5.0000000000000027E-3</v>
      </c>
      <c r="C24">
        <f t="shared" si="0"/>
        <v>3.1415926535897948E-2</v>
      </c>
      <c r="D24">
        <f t="shared" si="1"/>
        <v>1</v>
      </c>
      <c r="E24">
        <f t="shared" si="2"/>
        <v>0.86602540378443826</v>
      </c>
      <c r="F24">
        <f t="shared" si="3"/>
        <v>0.86602540378443826</v>
      </c>
      <c r="G24">
        <f t="shared" si="4"/>
        <v>1</v>
      </c>
      <c r="H24">
        <f t="shared" si="5"/>
        <v>0.74999999999999933</v>
      </c>
    </row>
    <row r="25" spans="1:8" x14ac:dyDescent="0.25">
      <c r="A25">
        <f t="shared" si="6"/>
        <v>21</v>
      </c>
      <c r="B25">
        <f t="shared" si="7"/>
        <v>5.2500000000000029E-3</v>
      </c>
      <c r="C25">
        <f t="shared" si="0"/>
        <v>3.2986722862692844E-2</v>
      </c>
      <c r="D25">
        <f t="shared" si="1"/>
        <v>0.99691733373312796</v>
      </c>
      <c r="E25">
        <f t="shared" si="2"/>
        <v>0.82412618862201525</v>
      </c>
      <c r="F25">
        <f t="shared" si="3"/>
        <v>0.82158568262070431</v>
      </c>
      <c r="G25">
        <f t="shared" si="4"/>
        <v>0.99384417029756889</v>
      </c>
      <c r="H25">
        <f t="shared" si="5"/>
        <v>0.67918397477264947</v>
      </c>
    </row>
    <row r="26" spans="1:8" x14ac:dyDescent="0.25">
      <c r="A26">
        <f t="shared" si="6"/>
        <v>22</v>
      </c>
      <c r="B26">
        <f t="shared" si="7"/>
        <v>5.5000000000000032E-3</v>
      </c>
      <c r="C26">
        <f t="shared" si="0"/>
        <v>3.4557519189487747E-2</v>
      </c>
      <c r="D26">
        <f t="shared" si="1"/>
        <v>0.98768834059513755</v>
      </c>
      <c r="E26">
        <f t="shared" si="2"/>
        <v>0.77714596145697024</v>
      </c>
      <c r="F26">
        <f t="shared" si="3"/>
        <v>0.76757800507164764</v>
      </c>
      <c r="G26">
        <f t="shared" si="4"/>
        <v>0.97552825814757649</v>
      </c>
      <c r="H26">
        <f t="shared" si="5"/>
        <v>0.6039558454088787</v>
      </c>
    </row>
    <row r="27" spans="1:8" x14ac:dyDescent="0.25">
      <c r="A27">
        <f t="shared" si="6"/>
        <v>23</v>
      </c>
      <c r="B27">
        <f t="shared" si="7"/>
        <v>5.7500000000000034E-3</v>
      </c>
      <c r="C27">
        <f t="shared" si="0"/>
        <v>3.6128315516282643E-2</v>
      </c>
      <c r="D27">
        <f t="shared" si="1"/>
        <v>0.97236992039767633</v>
      </c>
      <c r="E27">
        <f t="shared" si="2"/>
        <v>0.72537437101228686</v>
      </c>
      <c r="F27">
        <f t="shared" si="3"/>
        <v>0.7053322193997319</v>
      </c>
      <c r="G27">
        <f t="shared" si="4"/>
        <v>0.94550326209418345</v>
      </c>
      <c r="H27">
        <f t="shared" si="5"/>
        <v>0.52616797812147076</v>
      </c>
    </row>
    <row r="28" spans="1:8" x14ac:dyDescent="0.25">
      <c r="A28">
        <f t="shared" si="6"/>
        <v>24</v>
      </c>
      <c r="B28">
        <f t="shared" si="7"/>
        <v>6.0000000000000036E-3</v>
      </c>
      <c r="C28">
        <f t="shared" si="0"/>
        <v>3.7699111843077539E-2</v>
      </c>
      <c r="D28">
        <f t="shared" si="1"/>
        <v>0.9510565162951532</v>
      </c>
      <c r="E28">
        <f t="shared" si="2"/>
        <v>0.66913060635885735</v>
      </c>
      <c r="F28">
        <f t="shared" si="3"/>
        <v>0.63638102343011838</v>
      </c>
      <c r="G28">
        <f t="shared" si="4"/>
        <v>0.90450849718747295</v>
      </c>
      <c r="H28">
        <f t="shared" si="5"/>
        <v>0.44773576836617213</v>
      </c>
    </row>
    <row r="29" spans="1:8" x14ac:dyDescent="0.25">
      <c r="A29">
        <f t="shared" si="6"/>
        <v>25</v>
      </c>
      <c r="B29">
        <f t="shared" si="7"/>
        <v>6.2500000000000038E-3</v>
      </c>
      <c r="C29">
        <f t="shared" si="0"/>
        <v>3.9269908169872435E-2</v>
      </c>
      <c r="D29">
        <f t="shared" si="1"/>
        <v>0.92387953251128641</v>
      </c>
      <c r="E29">
        <f t="shared" si="2"/>
        <v>0.60876142900871977</v>
      </c>
      <c r="F29">
        <f t="shared" si="3"/>
        <v>0.56242222444347867</v>
      </c>
      <c r="G29">
        <f t="shared" si="4"/>
        <v>0.85355339059327306</v>
      </c>
      <c r="H29">
        <f t="shared" si="5"/>
        <v>0.37059047744873858</v>
      </c>
    </row>
    <row r="30" spans="1:8" x14ac:dyDescent="0.25">
      <c r="A30">
        <f t="shared" si="6"/>
        <v>26</v>
      </c>
      <c r="B30">
        <f t="shared" si="7"/>
        <v>6.500000000000004E-3</v>
      </c>
      <c r="C30">
        <f t="shared" si="0"/>
        <v>4.0840704496667338E-2</v>
      </c>
      <c r="D30">
        <f t="shared" si="1"/>
        <v>0.89100652418836734</v>
      </c>
      <c r="E30">
        <f t="shared" si="2"/>
        <v>0.5446390350150262</v>
      </c>
      <c r="F30">
        <f t="shared" si="3"/>
        <v>0.48527693352604501</v>
      </c>
      <c r="G30">
        <f t="shared" si="4"/>
        <v>0.79389262614623568</v>
      </c>
      <c r="H30">
        <f t="shared" si="5"/>
        <v>0.29663167846209892</v>
      </c>
    </row>
    <row r="31" spans="1:8" x14ac:dyDescent="0.25">
      <c r="A31">
        <f t="shared" si="6"/>
        <v>27</v>
      </c>
      <c r="B31">
        <f t="shared" si="7"/>
        <v>6.7500000000000043E-3</v>
      </c>
      <c r="C31">
        <f t="shared" si="0"/>
        <v>4.2411500823462234E-2</v>
      </c>
      <c r="D31">
        <f t="shared" si="1"/>
        <v>0.85264016435409162</v>
      </c>
      <c r="E31">
        <f t="shared" si="2"/>
        <v>0.47715876025960746</v>
      </c>
      <c r="F31">
        <f t="shared" si="3"/>
        <v>0.40684472377074632</v>
      </c>
      <c r="G31">
        <f t="shared" si="4"/>
        <v>0.72699524986977238</v>
      </c>
      <c r="H31">
        <f t="shared" si="5"/>
        <v>0.22768048249248554</v>
      </c>
    </row>
    <row r="32" spans="1:8" x14ac:dyDescent="0.25">
      <c r="A32">
        <f t="shared" si="6"/>
        <v>28</v>
      </c>
      <c r="B32">
        <f t="shared" si="7"/>
        <v>7.0000000000000045E-3</v>
      </c>
      <c r="C32">
        <f t="shared" si="0"/>
        <v>4.398229715025713E-2</v>
      </c>
      <c r="D32">
        <f t="shared" si="1"/>
        <v>0.80901699437494667</v>
      </c>
      <c r="E32">
        <f t="shared" si="2"/>
        <v>0.40673664307579921</v>
      </c>
      <c r="F32">
        <f t="shared" si="3"/>
        <v>0.32905685648333854</v>
      </c>
      <c r="G32">
        <f t="shared" si="4"/>
        <v>0.6545084971874725</v>
      </c>
      <c r="H32">
        <f t="shared" si="5"/>
        <v>0.16543469682057008</v>
      </c>
    </row>
    <row r="33" spans="1:8" x14ac:dyDescent="0.25">
      <c r="A33">
        <f t="shared" si="6"/>
        <v>29</v>
      </c>
      <c r="B33">
        <f t="shared" si="7"/>
        <v>7.2500000000000047E-3</v>
      </c>
      <c r="C33">
        <f t="shared" si="0"/>
        <v>4.5553093477052033E-2</v>
      </c>
      <c r="D33">
        <f t="shared" si="1"/>
        <v>0.76040596560002982</v>
      </c>
      <c r="E33">
        <f t="shared" si="2"/>
        <v>0.33380685923376952</v>
      </c>
      <c r="F33">
        <f t="shared" si="3"/>
        <v>0.25382872711956772</v>
      </c>
      <c r="G33">
        <f t="shared" si="4"/>
        <v>0.5782172325201137</v>
      </c>
      <c r="H33">
        <f t="shared" si="5"/>
        <v>0.11142701927151362</v>
      </c>
    </row>
    <row r="34" spans="1:8" x14ac:dyDescent="0.25">
      <c r="A34">
        <f t="shared" si="6"/>
        <v>30</v>
      </c>
      <c r="B34">
        <f t="shared" si="7"/>
        <v>7.5000000000000049E-3</v>
      </c>
      <c r="C34">
        <f t="shared" si="0"/>
        <v>4.7123889803846929E-2</v>
      </c>
      <c r="D34">
        <f t="shared" si="1"/>
        <v>0.70710678118654635</v>
      </c>
      <c r="E34">
        <f t="shared" si="2"/>
        <v>0.2588190451025193</v>
      </c>
      <c r="F34">
        <f t="shared" si="3"/>
        <v>0.18301270189221799</v>
      </c>
      <c r="G34">
        <f t="shared" si="4"/>
        <v>0.49999999999999833</v>
      </c>
      <c r="H34">
        <f t="shared" si="5"/>
        <v>6.6987298107779925E-2</v>
      </c>
    </row>
    <row r="35" spans="1:8" x14ac:dyDescent="0.25">
      <c r="A35">
        <f t="shared" si="6"/>
        <v>31</v>
      </c>
      <c r="B35">
        <f t="shared" si="7"/>
        <v>7.7500000000000051E-3</v>
      </c>
      <c r="C35">
        <f t="shared" si="0"/>
        <v>4.8694686130641825E-2</v>
      </c>
      <c r="D35">
        <f t="shared" si="1"/>
        <v>0.64944804833018233</v>
      </c>
      <c r="E35">
        <f t="shared" si="2"/>
        <v>0.18223552549214597</v>
      </c>
      <c r="F35">
        <f t="shared" si="3"/>
        <v>0.1183525063672994</v>
      </c>
      <c r="G35">
        <f t="shared" si="4"/>
        <v>0.42178276747988286</v>
      </c>
      <c r="H35">
        <f t="shared" si="5"/>
        <v>3.3209786751398587E-2</v>
      </c>
    </row>
    <row r="36" spans="1:8" x14ac:dyDescent="0.25">
      <c r="A36">
        <f t="shared" si="6"/>
        <v>32</v>
      </c>
      <c r="B36">
        <f t="shared" si="7"/>
        <v>8.0000000000000054E-3</v>
      </c>
      <c r="C36">
        <f t="shared" si="0"/>
        <v>5.0265482457436721E-2</v>
      </c>
      <c r="D36">
        <f t="shared" si="1"/>
        <v>0.58778525229247214</v>
      </c>
      <c r="E36">
        <f t="shared" si="2"/>
        <v>0.10452846326765242</v>
      </c>
      <c r="F36">
        <f t="shared" si="3"/>
        <v>6.1440289153521482E-2</v>
      </c>
      <c r="G36">
        <f t="shared" si="4"/>
        <v>0.34549150281252511</v>
      </c>
      <c r="H36">
        <f t="shared" si="5"/>
        <v>1.092619963309696E-2</v>
      </c>
    </row>
    <row r="37" spans="1:8" x14ac:dyDescent="0.25">
      <c r="A37">
        <f t="shared" si="6"/>
        <v>33</v>
      </c>
      <c r="B37">
        <f t="shared" si="7"/>
        <v>8.2500000000000056E-3</v>
      </c>
      <c r="C37">
        <f t="shared" si="0"/>
        <v>5.1836278784231624E-2</v>
      </c>
      <c r="D37">
        <f t="shared" si="1"/>
        <v>0.52249856471594747</v>
      </c>
      <c r="E37">
        <f t="shared" si="2"/>
        <v>2.6176948307871647E-2</v>
      </c>
      <c r="F37">
        <f t="shared" si="3"/>
        <v>1.3677417919506486E-2</v>
      </c>
      <c r="G37">
        <f t="shared" si="4"/>
        <v>0.27300475013022513</v>
      </c>
      <c r="H37">
        <f t="shared" si="5"/>
        <v>6.8523262271298429E-4</v>
      </c>
    </row>
    <row r="38" spans="1:8" x14ac:dyDescent="0.25">
      <c r="A38">
        <f t="shared" si="6"/>
        <v>34</v>
      </c>
      <c r="B38">
        <f t="shared" si="7"/>
        <v>8.5000000000000058E-3</v>
      </c>
      <c r="C38">
        <f t="shared" si="0"/>
        <v>5.340707511102652E-2</v>
      </c>
      <c r="D38">
        <f t="shared" si="1"/>
        <v>0.45399049973954531</v>
      </c>
      <c r="E38">
        <f t="shared" si="2"/>
        <v>-5.2335956242945333E-2</v>
      </c>
      <c r="F38">
        <f t="shared" si="3"/>
        <v>-2.3760026929081728E-2</v>
      </c>
      <c r="G38">
        <f t="shared" si="4"/>
        <v>0.2061073738537621</v>
      </c>
      <c r="H38">
        <f t="shared" si="5"/>
        <v>2.7390523158634886E-3</v>
      </c>
    </row>
    <row r="39" spans="1:8" x14ac:dyDescent="0.25">
      <c r="A39">
        <f t="shared" si="6"/>
        <v>35</v>
      </c>
      <c r="B39">
        <f t="shared" si="7"/>
        <v>8.750000000000006E-3</v>
      </c>
      <c r="C39">
        <f t="shared" si="0"/>
        <v>5.4977871437821416E-2</v>
      </c>
      <c r="D39">
        <f t="shared" si="1"/>
        <v>0.38268343236508823</v>
      </c>
      <c r="E39">
        <f t="shared" si="2"/>
        <v>-0.13052619222005307</v>
      </c>
      <c r="F39">
        <f t="shared" si="3"/>
        <v>-4.9950211252315184E-2</v>
      </c>
      <c r="G39">
        <f t="shared" si="4"/>
        <v>0.14644660940672505</v>
      </c>
      <c r="H39">
        <f t="shared" si="5"/>
        <v>1.7037086855466243E-2</v>
      </c>
    </row>
    <row r="40" spans="1:8" x14ac:dyDescent="0.25">
      <c r="A40">
        <f t="shared" si="6"/>
        <v>36</v>
      </c>
      <c r="B40">
        <f t="shared" si="7"/>
        <v>9.0000000000000063E-3</v>
      </c>
      <c r="C40">
        <f t="shared" si="0"/>
        <v>5.6548667764616319E-2</v>
      </c>
      <c r="D40">
        <f t="shared" si="1"/>
        <v>0.3090169943749454</v>
      </c>
      <c r="E40">
        <f t="shared" si="2"/>
        <v>-0.20791169081776123</v>
      </c>
      <c r="F40">
        <f t="shared" si="3"/>
        <v>-6.4248245791917513E-2</v>
      </c>
      <c r="G40">
        <f t="shared" si="4"/>
        <v>9.5491502812525039E-2</v>
      </c>
      <c r="H40">
        <f t="shared" si="5"/>
        <v>4.3227271178700337E-2</v>
      </c>
    </row>
    <row r="41" spans="1:8" x14ac:dyDescent="0.25">
      <c r="A41">
        <f t="shared" si="6"/>
        <v>37</v>
      </c>
      <c r="B41">
        <f t="shared" si="7"/>
        <v>9.2500000000000065E-3</v>
      </c>
      <c r="C41">
        <f t="shared" si="0"/>
        <v>5.8119464091411215E-2</v>
      </c>
      <c r="D41">
        <f t="shared" si="1"/>
        <v>0.23344536385590337</v>
      </c>
      <c r="E41">
        <f t="shared" si="2"/>
        <v>-0.28401534470392448</v>
      </c>
      <c r="F41">
        <f t="shared" si="3"/>
        <v>-6.6302065485067466E-2</v>
      </c>
      <c r="G41">
        <f t="shared" si="4"/>
        <v>5.4496737905815114E-2</v>
      </c>
      <c r="H41">
        <f t="shared" si="5"/>
        <v>8.0664716027289043E-2</v>
      </c>
    </row>
    <row r="42" spans="1:8" x14ac:dyDescent="0.25">
      <c r="A42">
        <f t="shared" si="6"/>
        <v>38</v>
      </c>
      <c r="B42">
        <f t="shared" si="7"/>
        <v>9.5000000000000067E-3</v>
      </c>
      <c r="C42">
        <f t="shared" si="0"/>
        <v>5.9690260418206111E-2</v>
      </c>
      <c r="D42">
        <f t="shared" si="1"/>
        <v>0.15643446504022879</v>
      </c>
      <c r="E42">
        <f t="shared" si="2"/>
        <v>-0.3583679495453021</v>
      </c>
      <c r="F42">
        <f t="shared" si="3"/>
        <v>-5.6061098474683033E-2</v>
      </c>
      <c r="G42">
        <f t="shared" si="4"/>
        <v>2.4471741852422561E-2</v>
      </c>
      <c r="H42">
        <f t="shared" si="5"/>
        <v>0.12842758726130418</v>
      </c>
    </row>
    <row r="43" spans="1:8" x14ac:dyDescent="0.25">
      <c r="A43">
        <f t="shared" si="6"/>
        <v>39</v>
      </c>
      <c r="B43">
        <f t="shared" si="7"/>
        <v>9.7500000000000069E-3</v>
      </c>
      <c r="C43">
        <f t="shared" si="0"/>
        <v>6.1261056745001007E-2</v>
      </c>
      <c r="D43">
        <f t="shared" si="1"/>
        <v>7.8459095727842848E-2</v>
      </c>
      <c r="E43">
        <f t="shared" si="2"/>
        <v>-0.43051109680829691</v>
      </c>
      <c r="F43">
        <f t="shared" si="3"/>
        <v>-3.3777511356380789E-2</v>
      </c>
      <c r="G43">
        <f t="shared" si="4"/>
        <v>6.1558297024308078E-3</v>
      </c>
      <c r="H43">
        <f t="shared" si="5"/>
        <v>0.1853398044750828</v>
      </c>
    </row>
    <row r="44" spans="1:8" x14ac:dyDescent="0.25">
      <c r="A44">
        <f t="shared" si="6"/>
        <v>40</v>
      </c>
      <c r="B44">
        <f t="shared" si="7"/>
        <v>1.0000000000000007E-2</v>
      </c>
      <c r="C44">
        <f t="shared" si="0"/>
        <v>6.283185307179591E-2</v>
      </c>
      <c r="D44">
        <f t="shared" si="1"/>
        <v>-2.0979312037594511E-15</v>
      </c>
      <c r="E44">
        <f t="shared" si="2"/>
        <v>-0.50000000000000167</v>
      </c>
      <c r="F44">
        <f t="shared" si="3"/>
        <v>1.0489656018797291E-15</v>
      </c>
      <c r="G44">
        <f t="shared" si="4"/>
        <v>4.4013153357075794E-30</v>
      </c>
      <c r="H44">
        <f t="shared" si="5"/>
        <v>0.25000000000000167</v>
      </c>
    </row>
    <row r="45" spans="1:8" x14ac:dyDescent="0.25">
      <c r="A45">
        <f t="shared" si="6"/>
        <v>41</v>
      </c>
      <c r="B45">
        <f t="shared" si="7"/>
        <v>1.0250000000000007E-2</v>
      </c>
      <c r="C45">
        <f t="shared" si="0"/>
        <v>6.4402649398590806E-2</v>
      </c>
      <c r="D45">
        <f t="shared" si="1"/>
        <v>-7.8459095727847039E-2</v>
      </c>
      <c r="E45">
        <f t="shared" si="2"/>
        <v>-0.56640623692483438</v>
      </c>
      <c r="F45">
        <f t="shared" si="3"/>
        <v>4.4439721163735194E-2</v>
      </c>
      <c r="G45">
        <f t="shared" si="4"/>
        <v>6.1558297024314652E-3</v>
      </c>
      <c r="H45">
        <f t="shared" si="5"/>
        <v>0.32081602522735164</v>
      </c>
    </row>
    <row r="46" spans="1:8" x14ac:dyDescent="0.25">
      <c r="A46">
        <f t="shared" si="6"/>
        <v>42</v>
      </c>
      <c r="B46">
        <f t="shared" si="7"/>
        <v>1.0500000000000008E-2</v>
      </c>
      <c r="C46">
        <f t="shared" si="0"/>
        <v>6.5973445725385702E-2</v>
      </c>
      <c r="D46">
        <f t="shared" si="1"/>
        <v>-0.15643446504023292</v>
      </c>
      <c r="E46">
        <f t="shared" si="2"/>
        <v>-0.62932039104983895</v>
      </c>
      <c r="F46">
        <f t="shared" si="3"/>
        <v>9.8447398712791748E-2</v>
      </c>
      <c r="G46">
        <f t="shared" si="4"/>
        <v>2.4471741852423855E-2</v>
      </c>
      <c r="H46">
        <f t="shared" si="5"/>
        <v>0.39604415459112219</v>
      </c>
    </row>
    <row r="47" spans="1:8" x14ac:dyDescent="0.25">
      <c r="A47">
        <f t="shared" si="6"/>
        <v>43</v>
      </c>
      <c r="B47">
        <f t="shared" si="7"/>
        <v>1.0750000000000008E-2</v>
      </c>
      <c r="C47">
        <f t="shared" si="0"/>
        <v>6.7544242052180598E-2</v>
      </c>
      <c r="D47">
        <f t="shared" si="1"/>
        <v>-0.23344536385590745</v>
      </c>
      <c r="E47">
        <f t="shared" si="2"/>
        <v>-0.68835457569375536</v>
      </c>
      <c r="F47">
        <f t="shared" si="3"/>
        <v>0.1606931843847075</v>
      </c>
      <c r="G47">
        <f t="shared" si="4"/>
        <v>5.4496737905817015E-2</v>
      </c>
      <c r="H47">
        <f t="shared" si="5"/>
        <v>0.47383202187852996</v>
      </c>
    </row>
    <row r="48" spans="1:8" x14ac:dyDescent="0.25">
      <c r="A48">
        <f t="shared" si="6"/>
        <v>44</v>
      </c>
      <c r="B48">
        <f t="shared" si="7"/>
        <v>1.1000000000000008E-2</v>
      </c>
      <c r="C48">
        <f t="shared" si="0"/>
        <v>6.9115038378975494E-2</v>
      </c>
      <c r="D48">
        <f t="shared" si="1"/>
        <v>-0.30901699437494939</v>
      </c>
      <c r="E48">
        <f t="shared" si="2"/>
        <v>-0.74314482547739547</v>
      </c>
      <c r="F48">
        <f t="shared" si="3"/>
        <v>0.22964438035432105</v>
      </c>
      <c r="G48">
        <f t="shared" si="4"/>
        <v>9.5491502812527509E-2</v>
      </c>
      <c r="H48">
        <f t="shared" si="5"/>
        <v>0.55226423163382854</v>
      </c>
    </row>
    <row r="49" spans="1:8" x14ac:dyDescent="0.25">
      <c r="A49">
        <f t="shared" si="6"/>
        <v>45</v>
      </c>
      <c r="B49">
        <f t="shared" si="7"/>
        <v>1.1250000000000008E-2</v>
      </c>
      <c r="C49">
        <f t="shared" si="0"/>
        <v>7.0685834705770403E-2</v>
      </c>
      <c r="D49">
        <f t="shared" si="1"/>
        <v>-0.3826834323650925</v>
      </c>
      <c r="E49">
        <f t="shared" si="2"/>
        <v>-0.79335334029123716</v>
      </c>
      <c r="F49">
        <f t="shared" si="3"/>
        <v>0.30360317934096187</v>
      </c>
      <c r="G49">
        <f t="shared" si="4"/>
        <v>0.14644660940672832</v>
      </c>
      <c r="H49">
        <f t="shared" si="5"/>
        <v>0.62940952255126359</v>
      </c>
    </row>
    <row r="50" spans="1:8" x14ac:dyDescent="0.25">
      <c r="A50">
        <f t="shared" si="6"/>
        <v>46</v>
      </c>
      <c r="B50">
        <f t="shared" si="7"/>
        <v>1.1500000000000008E-2</v>
      </c>
      <c r="C50">
        <f t="shared" si="0"/>
        <v>7.2256631032565299E-2</v>
      </c>
      <c r="D50">
        <f t="shared" si="1"/>
        <v>-0.45399049973954902</v>
      </c>
      <c r="E50">
        <f t="shared" si="2"/>
        <v>-0.8386705679454256</v>
      </c>
      <c r="F50">
        <f t="shared" si="3"/>
        <v>0.3807484702583952</v>
      </c>
      <c r="G50">
        <f t="shared" si="4"/>
        <v>0.20610737385376546</v>
      </c>
      <c r="H50">
        <f t="shared" si="5"/>
        <v>0.70336832153790274</v>
      </c>
    </row>
    <row r="51" spans="1:8" x14ac:dyDescent="0.25">
      <c r="A51">
        <f t="shared" si="6"/>
        <v>47</v>
      </c>
      <c r="B51">
        <f t="shared" si="7"/>
        <v>1.1750000000000009E-2</v>
      </c>
      <c r="C51">
        <f t="shared" si="0"/>
        <v>7.3827427359360195E-2</v>
      </c>
      <c r="D51">
        <f t="shared" si="1"/>
        <v>-0.52249856471595102</v>
      </c>
      <c r="E51">
        <f t="shared" si="2"/>
        <v>-0.87881711266196649</v>
      </c>
      <c r="F51">
        <f t="shared" si="3"/>
        <v>0.45918068001369372</v>
      </c>
      <c r="G51">
        <f t="shared" si="4"/>
        <v>0.27300475013022885</v>
      </c>
      <c r="H51">
        <f t="shared" si="5"/>
        <v>0.77231951750751549</v>
      </c>
    </row>
    <row r="52" spans="1:8" x14ac:dyDescent="0.25">
      <c r="A52">
        <f t="shared" si="6"/>
        <v>48</v>
      </c>
      <c r="B52">
        <f t="shared" si="7"/>
        <v>1.2000000000000009E-2</v>
      </c>
      <c r="C52">
        <f t="shared" si="0"/>
        <v>7.5398223686155091E-2</v>
      </c>
      <c r="D52">
        <f t="shared" si="1"/>
        <v>-0.58778525229247514</v>
      </c>
      <c r="E52">
        <f t="shared" si="2"/>
        <v>-0.91354545764260198</v>
      </c>
      <c r="F52">
        <f t="shared" si="3"/>
        <v>0.53696854730110144</v>
      </c>
      <c r="G52">
        <f t="shared" si="4"/>
        <v>0.34549150281252866</v>
      </c>
      <c r="H52">
        <f t="shared" si="5"/>
        <v>0.83456530317943112</v>
      </c>
    </row>
    <row r="53" spans="1:8" x14ac:dyDescent="0.25">
      <c r="A53">
        <f t="shared" si="6"/>
        <v>49</v>
      </c>
      <c r="B53">
        <f t="shared" si="7"/>
        <v>1.2250000000000009E-2</v>
      </c>
      <c r="C53">
        <f t="shared" si="0"/>
        <v>7.6969020012949987E-2</v>
      </c>
      <c r="D53">
        <f t="shared" si="1"/>
        <v>-0.64944804833018555</v>
      </c>
      <c r="E53">
        <f t="shared" si="2"/>
        <v>-0.94264149109217921</v>
      </c>
      <c r="F53">
        <f t="shared" si="3"/>
        <v>0.61219667666487176</v>
      </c>
      <c r="G53">
        <f t="shared" si="4"/>
        <v>0.42178276747988702</v>
      </c>
      <c r="H53">
        <f t="shared" si="5"/>
        <v>0.88857298072848701</v>
      </c>
    </row>
    <row r="54" spans="1:8" x14ac:dyDescent="0.25">
      <c r="A54">
        <f t="shared" si="6"/>
        <v>50</v>
      </c>
      <c r="B54">
        <f t="shared" si="7"/>
        <v>1.2500000000000009E-2</v>
      </c>
      <c r="C54">
        <f t="shared" si="0"/>
        <v>7.8539816339744883E-2</v>
      </c>
      <c r="D54">
        <f t="shared" si="1"/>
        <v>-0.70710678118654935</v>
      </c>
      <c r="E54">
        <f t="shared" si="2"/>
        <v>-0.96592582628906898</v>
      </c>
      <c r="F54">
        <f t="shared" si="3"/>
        <v>0.68301270189222163</v>
      </c>
      <c r="G54">
        <f t="shared" si="4"/>
        <v>0.50000000000000255</v>
      </c>
      <c r="H54">
        <f t="shared" si="5"/>
        <v>0.93301270189222063</v>
      </c>
    </row>
    <row r="55" spans="1:8" x14ac:dyDescent="0.25">
      <c r="A55">
        <f t="shared" si="6"/>
        <v>51</v>
      </c>
      <c r="B55">
        <f t="shared" si="7"/>
        <v>1.275000000000001E-2</v>
      </c>
      <c r="C55">
        <f t="shared" si="0"/>
        <v>8.0110612666539779E-2</v>
      </c>
      <c r="D55">
        <f t="shared" si="1"/>
        <v>-0.76040596560003282</v>
      </c>
      <c r="E55">
        <f t="shared" si="2"/>
        <v>-0.98325490756395517</v>
      </c>
      <c r="F55">
        <f t="shared" si="3"/>
        <v>0.74767289741714038</v>
      </c>
      <c r="G55">
        <f t="shared" si="4"/>
        <v>0.57821723252011825</v>
      </c>
      <c r="H55">
        <f t="shared" si="5"/>
        <v>0.96679021324860204</v>
      </c>
    </row>
    <row r="56" spans="1:8" x14ac:dyDescent="0.25">
      <c r="A56">
        <f t="shared" si="6"/>
        <v>52</v>
      </c>
      <c r="B56">
        <f t="shared" si="7"/>
        <v>1.300000000000001E-2</v>
      </c>
      <c r="C56">
        <f t="shared" si="0"/>
        <v>8.1681408993334689E-2</v>
      </c>
      <c r="D56">
        <f t="shared" si="1"/>
        <v>-0.80901699437494945</v>
      </c>
      <c r="E56">
        <f t="shared" si="2"/>
        <v>-0.99452189536827373</v>
      </c>
      <c r="F56">
        <f t="shared" si="3"/>
        <v>0.80458511463091875</v>
      </c>
      <c r="G56">
        <f t="shared" si="4"/>
        <v>0.65450849718747695</v>
      </c>
      <c r="H56">
        <f t="shared" si="5"/>
        <v>0.98907380036690362</v>
      </c>
    </row>
    <row r="57" spans="1:8" x14ac:dyDescent="0.25">
      <c r="A57">
        <f t="shared" si="6"/>
        <v>53</v>
      </c>
      <c r="B57">
        <f t="shared" si="7"/>
        <v>1.325000000000001E-2</v>
      </c>
      <c r="C57">
        <f t="shared" si="0"/>
        <v>8.3252205320129585E-2</v>
      </c>
      <c r="D57">
        <f t="shared" si="1"/>
        <v>-0.85264016435409373</v>
      </c>
      <c r="E57">
        <f t="shared" si="2"/>
        <v>-0.99965732497555737</v>
      </c>
      <c r="F57">
        <f t="shared" si="3"/>
        <v>0.85234798586493288</v>
      </c>
      <c r="G57">
        <f t="shared" si="4"/>
        <v>0.72699524986977593</v>
      </c>
      <c r="H57">
        <f t="shared" si="5"/>
        <v>0.99931476737728708</v>
      </c>
    </row>
    <row r="58" spans="1:8" x14ac:dyDescent="0.25">
      <c r="A58">
        <f t="shared" si="6"/>
        <v>54</v>
      </c>
      <c r="B58">
        <f t="shared" si="7"/>
        <v>1.350000000000001E-2</v>
      </c>
      <c r="C58">
        <f t="shared" si="0"/>
        <v>8.4823001646924481E-2</v>
      </c>
      <c r="D58">
        <f t="shared" si="1"/>
        <v>-0.89100652418836945</v>
      </c>
      <c r="E58">
        <f t="shared" si="2"/>
        <v>-0.99862953475457372</v>
      </c>
      <c r="F58">
        <f t="shared" si="3"/>
        <v>0.88978543071352123</v>
      </c>
      <c r="G58">
        <f t="shared" si="4"/>
        <v>0.79389262614623934</v>
      </c>
      <c r="H58">
        <f t="shared" si="5"/>
        <v>0.99726094768413631</v>
      </c>
    </row>
    <row r="59" spans="1:8" x14ac:dyDescent="0.25">
      <c r="A59">
        <f t="shared" si="6"/>
        <v>55</v>
      </c>
      <c r="B59">
        <f t="shared" si="7"/>
        <v>1.375000000000001E-2</v>
      </c>
      <c r="C59">
        <f t="shared" si="0"/>
        <v>8.6393797973719377E-2</v>
      </c>
      <c r="D59">
        <f t="shared" si="1"/>
        <v>-0.92387953251128785</v>
      </c>
      <c r="E59">
        <f t="shared" si="2"/>
        <v>-0.99144486137380994</v>
      </c>
      <c r="F59">
        <f t="shared" si="3"/>
        <v>0.91597561503675407</v>
      </c>
      <c r="G59">
        <f t="shared" si="4"/>
        <v>0.85355339059327573</v>
      </c>
      <c r="H59">
        <f t="shared" si="5"/>
        <v>0.98296291314453321</v>
      </c>
    </row>
    <row r="60" spans="1:8" x14ac:dyDescent="0.25">
      <c r="A60">
        <f t="shared" si="6"/>
        <v>56</v>
      </c>
      <c r="B60">
        <f t="shared" si="7"/>
        <v>1.4000000000000011E-2</v>
      </c>
      <c r="C60">
        <f t="shared" si="0"/>
        <v>8.7964594300514273E-2</v>
      </c>
      <c r="D60">
        <f t="shared" si="1"/>
        <v>-0.95105651629515464</v>
      </c>
      <c r="E60">
        <f t="shared" si="2"/>
        <v>-0.97814760073380491</v>
      </c>
      <c r="F60">
        <f t="shared" si="3"/>
        <v>0.93027364957635639</v>
      </c>
      <c r="G60">
        <f t="shared" si="4"/>
        <v>0.90450849718747572</v>
      </c>
      <c r="H60">
        <f t="shared" si="5"/>
        <v>0.95677272882129905</v>
      </c>
    </row>
    <row r="61" spans="1:8" x14ac:dyDescent="0.25">
      <c r="A61">
        <f t="shared" si="6"/>
        <v>57</v>
      </c>
      <c r="B61">
        <f t="shared" si="7"/>
        <v>1.4250000000000011E-2</v>
      </c>
      <c r="C61">
        <f t="shared" si="0"/>
        <v>8.9535390627309169E-2</v>
      </c>
      <c r="D61">
        <f t="shared" si="1"/>
        <v>-0.97236992039767733</v>
      </c>
      <c r="E61">
        <f t="shared" si="2"/>
        <v>-0.95881973486819216</v>
      </c>
      <c r="F61">
        <f t="shared" si="3"/>
        <v>0.93232746926950605</v>
      </c>
      <c r="G61">
        <f t="shared" si="4"/>
        <v>0.94550326209418534</v>
      </c>
      <c r="H61">
        <f t="shared" si="5"/>
        <v>0.91933528397271036</v>
      </c>
    </row>
    <row r="62" spans="1:8" x14ac:dyDescent="0.25">
      <c r="A62">
        <f t="shared" si="6"/>
        <v>58</v>
      </c>
      <c r="B62">
        <f t="shared" si="7"/>
        <v>1.4500000000000011E-2</v>
      </c>
      <c r="C62">
        <f t="shared" si="0"/>
        <v>9.1106186954104065E-2</v>
      </c>
      <c r="D62">
        <f t="shared" si="1"/>
        <v>-0.98768834059513821</v>
      </c>
      <c r="E62">
        <f t="shared" si="2"/>
        <v>-0.93358042649720041</v>
      </c>
      <c r="F62">
        <f t="shared" si="3"/>
        <v>0.92208650225912125</v>
      </c>
      <c r="G62">
        <f t="shared" si="4"/>
        <v>0.97552825814757771</v>
      </c>
      <c r="H62">
        <f t="shared" si="5"/>
        <v>0.87157241273869457</v>
      </c>
    </row>
    <row r="63" spans="1:8" x14ac:dyDescent="0.25">
      <c r="A63">
        <f t="shared" si="6"/>
        <v>59</v>
      </c>
      <c r="B63">
        <f t="shared" si="7"/>
        <v>1.4750000000000011E-2</v>
      </c>
      <c r="C63">
        <f t="shared" si="0"/>
        <v>9.2676983280898975E-2</v>
      </c>
      <c r="D63">
        <f t="shared" si="1"/>
        <v>-0.9969173337331283</v>
      </c>
      <c r="E63">
        <f t="shared" si="2"/>
        <v>-0.90258528434985885</v>
      </c>
      <c r="F63">
        <f t="shared" si="3"/>
        <v>0.89980291514081878</v>
      </c>
      <c r="G63">
        <f t="shared" si="4"/>
        <v>0.99384417029756955</v>
      </c>
      <c r="H63">
        <f t="shared" si="5"/>
        <v>0.81466019552491553</v>
      </c>
    </row>
    <row r="64" spans="1:8" x14ac:dyDescent="0.25">
      <c r="A64">
        <f t="shared" si="6"/>
        <v>60</v>
      </c>
      <c r="B64">
        <f t="shared" si="7"/>
        <v>1.5000000000000012E-2</v>
      </c>
      <c r="C64">
        <f t="shared" si="0"/>
        <v>9.4247779607693871E-2</v>
      </c>
      <c r="D64">
        <f t="shared" si="1"/>
        <v>-1</v>
      </c>
      <c r="E64">
        <f t="shared" si="2"/>
        <v>-0.86602540378443682</v>
      </c>
      <c r="F64">
        <f t="shared" si="3"/>
        <v>0.86602540378443682</v>
      </c>
      <c r="G64">
        <f t="shared" si="4"/>
        <v>1</v>
      </c>
      <c r="H64">
        <f t="shared" si="5"/>
        <v>0.74999999999999689</v>
      </c>
    </row>
    <row r="65" spans="1:8" x14ac:dyDescent="0.25">
      <c r="A65">
        <f t="shared" si="6"/>
        <v>61</v>
      </c>
      <c r="B65">
        <f t="shared" si="7"/>
        <v>1.5250000000000012E-2</v>
      </c>
      <c r="C65">
        <f t="shared" si="0"/>
        <v>9.5818575934488767E-2</v>
      </c>
      <c r="D65">
        <f t="shared" si="1"/>
        <v>-0.99691733373312763</v>
      </c>
      <c r="E65">
        <f t="shared" si="2"/>
        <v>-0.82412618862201337</v>
      </c>
      <c r="F65">
        <f t="shared" si="3"/>
        <v>0.8215856826207022</v>
      </c>
      <c r="G65">
        <f t="shared" si="4"/>
        <v>0.99384417029756822</v>
      </c>
      <c r="H65">
        <f t="shared" si="5"/>
        <v>0.67918397477264636</v>
      </c>
    </row>
    <row r="66" spans="1:8" x14ac:dyDescent="0.25">
      <c r="A66">
        <f t="shared" si="6"/>
        <v>62</v>
      </c>
      <c r="B66">
        <f t="shared" si="7"/>
        <v>1.5500000000000012E-2</v>
      </c>
      <c r="C66">
        <f t="shared" si="0"/>
        <v>9.7389372261283663E-2</v>
      </c>
      <c r="D66">
        <f t="shared" si="1"/>
        <v>-0.98768834059513722</v>
      </c>
      <c r="E66">
        <f t="shared" si="2"/>
        <v>-0.77714596145696857</v>
      </c>
      <c r="F66">
        <f t="shared" si="3"/>
        <v>0.76757800507164575</v>
      </c>
      <c r="G66">
        <f t="shared" si="4"/>
        <v>0.97552825814757582</v>
      </c>
      <c r="H66">
        <f t="shared" si="5"/>
        <v>0.60395584540887604</v>
      </c>
    </row>
    <row r="67" spans="1:8" x14ac:dyDescent="0.25">
      <c r="A67">
        <f t="shared" si="6"/>
        <v>63</v>
      </c>
      <c r="B67">
        <f t="shared" si="7"/>
        <v>1.5750000000000011E-2</v>
      </c>
      <c r="C67">
        <f t="shared" si="0"/>
        <v>9.8960168588078545E-2</v>
      </c>
      <c r="D67">
        <f t="shared" si="1"/>
        <v>-0.97236992039767589</v>
      </c>
      <c r="E67">
        <f t="shared" si="2"/>
        <v>-0.72537437101228541</v>
      </c>
      <c r="F67">
        <f t="shared" si="3"/>
        <v>0.70533221939973023</v>
      </c>
      <c r="G67">
        <f t="shared" si="4"/>
        <v>0.94550326209418256</v>
      </c>
      <c r="H67">
        <f t="shared" si="5"/>
        <v>0.52616797812146865</v>
      </c>
    </row>
    <row r="68" spans="1:8" x14ac:dyDescent="0.25">
      <c r="A68">
        <f t="shared" si="6"/>
        <v>64</v>
      </c>
      <c r="B68">
        <f t="shared" si="7"/>
        <v>1.6000000000000011E-2</v>
      </c>
      <c r="C68">
        <f t="shared" si="0"/>
        <v>0.10053096491487344</v>
      </c>
      <c r="D68">
        <f t="shared" si="1"/>
        <v>-0.95105651629515275</v>
      </c>
      <c r="E68">
        <f t="shared" si="2"/>
        <v>-0.66913060635885613</v>
      </c>
      <c r="F68">
        <f t="shared" si="3"/>
        <v>0.63638102343011693</v>
      </c>
      <c r="G68">
        <f t="shared" si="4"/>
        <v>0.90450849718747217</v>
      </c>
      <c r="H68">
        <f t="shared" si="5"/>
        <v>0.44773576836617046</v>
      </c>
    </row>
    <row r="69" spans="1:8" x14ac:dyDescent="0.25">
      <c r="A69">
        <f t="shared" si="6"/>
        <v>65</v>
      </c>
      <c r="B69">
        <f t="shared" si="7"/>
        <v>1.6250000000000011E-2</v>
      </c>
      <c r="C69">
        <f t="shared" ref="C69:C132" si="8">2*PI()*B69</f>
        <v>0.10210176124166835</v>
      </c>
      <c r="D69">
        <f t="shared" ref="D69:D132" si="9">$C$1*SIN(C69*50)</f>
        <v>-0.9238795325112853</v>
      </c>
      <c r="E69">
        <f t="shared" ref="E69:E132" si="10">$C$2*SIN(C69*50 + PI()*30/180)</f>
        <v>-0.60876142900871744</v>
      </c>
      <c r="F69">
        <f t="shared" ref="F69:F132" si="11">D69*E69</f>
        <v>0.56242222444347589</v>
      </c>
      <c r="G69">
        <f t="shared" ref="G69:G132" si="12">POWER(D69,2)</f>
        <v>0.85355339059327107</v>
      </c>
      <c r="H69">
        <f t="shared" ref="H69:H132" si="13">POWER(E69,2)</f>
        <v>0.37059047744873574</v>
      </c>
    </row>
    <row r="70" spans="1:8" x14ac:dyDescent="0.25">
      <c r="A70">
        <f t="shared" ref="A70:A133" si="14">A69+1</f>
        <v>66</v>
      </c>
      <c r="B70">
        <f t="shared" ref="B70:B133" si="15">B69+(1/4000)</f>
        <v>1.6500000000000011E-2</v>
      </c>
      <c r="C70">
        <f t="shared" si="8"/>
        <v>0.10367255756846325</v>
      </c>
      <c r="D70">
        <f t="shared" si="9"/>
        <v>-0.89100652418836634</v>
      </c>
      <c r="E70">
        <f t="shared" si="10"/>
        <v>-0.54463903501502409</v>
      </c>
      <c r="F70">
        <f t="shared" si="11"/>
        <v>0.48527693352604256</v>
      </c>
      <c r="G70">
        <f t="shared" si="12"/>
        <v>0.7938926261462339</v>
      </c>
      <c r="H70">
        <f t="shared" si="13"/>
        <v>0.29663167846209665</v>
      </c>
    </row>
    <row r="71" spans="1:8" x14ac:dyDescent="0.25">
      <c r="A71">
        <f t="shared" si="14"/>
        <v>67</v>
      </c>
      <c r="B71">
        <f t="shared" si="15"/>
        <v>1.6750000000000011E-2</v>
      </c>
      <c r="C71">
        <f t="shared" si="8"/>
        <v>0.10524335389525814</v>
      </c>
      <c r="D71">
        <f t="shared" si="9"/>
        <v>-0.85264016435409029</v>
      </c>
      <c r="E71">
        <f t="shared" si="10"/>
        <v>-0.47715876025960485</v>
      </c>
      <c r="F71">
        <f t="shared" si="11"/>
        <v>0.40684472377074343</v>
      </c>
      <c r="G71">
        <f t="shared" si="12"/>
        <v>0.72699524986977015</v>
      </c>
      <c r="H71">
        <f t="shared" si="13"/>
        <v>0.22768048249248307</v>
      </c>
    </row>
    <row r="72" spans="1:8" x14ac:dyDescent="0.25">
      <c r="A72">
        <f t="shared" si="14"/>
        <v>68</v>
      </c>
      <c r="B72">
        <f t="shared" si="15"/>
        <v>1.7000000000000012E-2</v>
      </c>
      <c r="C72">
        <f t="shared" si="8"/>
        <v>0.10681415022205304</v>
      </c>
      <c r="D72">
        <f t="shared" si="9"/>
        <v>-0.80901699437494545</v>
      </c>
      <c r="E72">
        <f t="shared" si="10"/>
        <v>-0.40673664307579688</v>
      </c>
      <c r="F72">
        <f t="shared" si="11"/>
        <v>0.32905685648333616</v>
      </c>
      <c r="G72">
        <f t="shared" si="12"/>
        <v>0.65450849718747051</v>
      </c>
      <c r="H72">
        <f t="shared" si="13"/>
        <v>0.16543469682056819</v>
      </c>
    </row>
    <row r="73" spans="1:8" x14ac:dyDescent="0.25">
      <c r="A73">
        <f t="shared" si="14"/>
        <v>69</v>
      </c>
      <c r="B73">
        <f t="shared" si="15"/>
        <v>1.7250000000000012E-2</v>
      </c>
      <c r="C73">
        <f t="shared" si="8"/>
        <v>0.10838494654884794</v>
      </c>
      <c r="D73">
        <f t="shared" si="9"/>
        <v>-0.76040596560002849</v>
      </c>
      <c r="E73">
        <f t="shared" si="10"/>
        <v>-0.33380685923376713</v>
      </c>
      <c r="F73">
        <f t="shared" si="11"/>
        <v>0.2538287271195655</v>
      </c>
      <c r="G73">
        <f t="shared" si="12"/>
        <v>0.5782172325201117</v>
      </c>
      <c r="H73">
        <f t="shared" si="13"/>
        <v>0.11142701927151202</v>
      </c>
    </row>
    <row r="74" spans="1:8" x14ac:dyDescent="0.25">
      <c r="A74">
        <f t="shared" si="14"/>
        <v>70</v>
      </c>
      <c r="B74">
        <f t="shared" si="15"/>
        <v>1.7500000000000012E-2</v>
      </c>
      <c r="C74">
        <f t="shared" si="8"/>
        <v>0.10995574287564283</v>
      </c>
      <c r="D74">
        <f t="shared" si="9"/>
        <v>-0.70710678118654513</v>
      </c>
      <c r="E74">
        <f t="shared" si="10"/>
        <v>-0.2588190451025173</v>
      </c>
      <c r="F74">
        <f t="shared" si="11"/>
        <v>0.18301270189221625</v>
      </c>
      <c r="G74">
        <f t="shared" si="12"/>
        <v>0.49999999999999661</v>
      </c>
      <c r="H74">
        <f t="shared" si="13"/>
        <v>6.6987298107778884E-2</v>
      </c>
    </row>
    <row r="75" spans="1:8" x14ac:dyDescent="0.25">
      <c r="A75">
        <f t="shared" si="14"/>
        <v>71</v>
      </c>
      <c r="B75">
        <f t="shared" si="15"/>
        <v>1.7750000000000012E-2</v>
      </c>
      <c r="C75">
        <f t="shared" si="8"/>
        <v>0.11152653920243773</v>
      </c>
      <c r="D75">
        <f t="shared" si="9"/>
        <v>-0.64944804833018077</v>
      </c>
      <c r="E75">
        <f t="shared" si="10"/>
        <v>-0.18223552549214347</v>
      </c>
      <c r="F75">
        <f t="shared" si="11"/>
        <v>0.11835250636729748</v>
      </c>
      <c r="G75">
        <f t="shared" si="12"/>
        <v>0.4217827674798808</v>
      </c>
      <c r="H75">
        <f t="shared" si="13"/>
        <v>3.3209786751397671E-2</v>
      </c>
    </row>
    <row r="76" spans="1:8" x14ac:dyDescent="0.25">
      <c r="A76">
        <f t="shared" si="14"/>
        <v>72</v>
      </c>
      <c r="B76">
        <f t="shared" si="15"/>
        <v>1.8000000000000013E-2</v>
      </c>
      <c r="C76">
        <f t="shared" si="8"/>
        <v>0.11309733552923264</v>
      </c>
      <c r="D76">
        <f t="shared" si="9"/>
        <v>-0.5877852522924697</v>
      </c>
      <c r="E76">
        <f t="shared" si="10"/>
        <v>-0.104528463267649</v>
      </c>
      <c r="F76">
        <f t="shared" si="11"/>
        <v>6.144028915351922E-2</v>
      </c>
      <c r="G76">
        <f t="shared" si="12"/>
        <v>0.34549150281252228</v>
      </c>
      <c r="H76">
        <f t="shared" si="13"/>
        <v>1.0926199633096247E-2</v>
      </c>
    </row>
    <row r="77" spans="1:8" x14ac:dyDescent="0.25">
      <c r="A77">
        <f t="shared" si="14"/>
        <v>73</v>
      </c>
      <c r="B77">
        <f t="shared" si="15"/>
        <v>1.8250000000000013E-2</v>
      </c>
      <c r="C77">
        <f t="shared" si="8"/>
        <v>0.11466813185602753</v>
      </c>
      <c r="D77">
        <f t="shared" si="9"/>
        <v>-0.52249856471594569</v>
      </c>
      <c r="E77">
        <f t="shared" si="10"/>
        <v>-2.6176948307869104E-2</v>
      </c>
      <c r="F77">
        <f t="shared" si="11"/>
        <v>1.367741791950511E-2</v>
      </c>
      <c r="G77">
        <f t="shared" si="12"/>
        <v>0.27300475013022329</v>
      </c>
      <c r="H77">
        <f t="shared" si="13"/>
        <v>6.8523262271285115E-4</v>
      </c>
    </row>
    <row r="78" spans="1:8" x14ac:dyDescent="0.25">
      <c r="A78">
        <f t="shared" si="14"/>
        <v>74</v>
      </c>
      <c r="B78">
        <f t="shared" si="15"/>
        <v>1.8500000000000013E-2</v>
      </c>
      <c r="C78">
        <f t="shared" si="8"/>
        <v>0.11623892818282243</v>
      </c>
      <c r="D78">
        <f t="shared" si="9"/>
        <v>-0.45399049973954303</v>
      </c>
      <c r="E78">
        <f t="shared" si="10"/>
        <v>5.2335956242948317E-2</v>
      </c>
      <c r="F78">
        <f t="shared" si="11"/>
        <v>-2.3760026929082963E-2</v>
      </c>
      <c r="G78">
        <f t="shared" si="12"/>
        <v>0.20610737385376002</v>
      </c>
      <c r="H78">
        <f t="shared" si="13"/>
        <v>2.7390523158638009E-3</v>
      </c>
    </row>
    <row r="79" spans="1:8" x14ac:dyDescent="0.25">
      <c r="A79">
        <f t="shared" si="14"/>
        <v>75</v>
      </c>
      <c r="B79">
        <f t="shared" si="15"/>
        <v>1.8750000000000013E-2</v>
      </c>
      <c r="C79">
        <f t="shared" si="8"/>
        <v>0.11780972450961733</v>
      </c>
      <c r="D79">
        <f t="shared" si="9"/>
        <v>-0.38268343236508628</v>
      </c>
      <c r="E79">
        <f t="shared" si="10"/>
        <v>0.1305261922200556</v>
      </c>
      <c r="F79">
        <f t="shared" si="11"/>
        <v>-4.9950211252315899E-2</v>
      </c>
      <c r="G79">
        <f t="shared" si="12"/>
        <v>0.14644660940672358</v>
      </c>
      <c r="H79">
        <f t="shared" si="13"/>
        <v>1.7037086855466902E-2</v>
      </c>
    </row>
    <row r="80" spans="1:8" x14ac:dyDescent="0.25">
      <c r="A80">
        <f t="shared" si="14"/>
        <v>76</v>
      </c>
      <c r="B80">
        <f t="shared" si="15"/>
        <v>1.9000000000000013E-2</v>
      </c>
      <c r="C80">
        <f t="shared" si="8"/>
        <v>0.11938052083641222</v>
      </c>
      <c r="D80">
        <f t="shared" si="9"/>
        <v>-0.3090169943749434</v>
      </c>
      <c r="E80">
        <f t="shared" si="10"/>
        <v>0.20791169081776373</v>
      </c>
      <c r="F80">
        <f t="shared" si="11"/>
        <v>-6.424824579191786E-2</v>
      </c>
      <c r="G80">
        <f t="shared" si="12"/>
        <v>9.5491502812523804E-2</v>
      </c>
      <c r="H80">
        <f t="shared" si="13"/>
        <v>4.3227271178701378E-2</v>
      </c>
    </row>
    <row r="81" spans="1:14" ht="13.5" customHeight="1" x14ac:dyDescent="0.25">
      <c r="A81">
        <f t="shared" si="14"/>
        <v>77</v>
      </c>
      <c r="B81">
        <f t="shared" si="15"/>
        <v>1.9250000000000014E-2</v>
      </c>
      <c r="C81">
        <f t="shared" si="8"/>
        <v>0.12095131716320712</v>
      </c>
      <c r="D81">
        <f t="shared" si="9"/>
        <v>-0.23344536385590176</v>
      </c>
      <c r="E81">
        <f t="shared" si="10"/>
        <v>0.28401534470392648</v>
      </c>
      <c r="F81">
        <f t="shared" si="11"/>
        <v>-6.630206548506748E-2</v>
      </c>
      <c r="G81">
        <f t="shared" si="12"/>
        <v>5.4496737905814364E-2</v>
      </c>
      <c r="H81">
        <f t="shared" si="13"/>
        <v>8.0664716027290181E-2</v>
      </c>
    </row>
    <row r="82" spans="1:14" x14ac:dyDescent="0.25">
      <c r="A82">
        <f t="shared" si="14"/>
        <v>78</v>
      </c>
      <c r="B82">
        <f t="shared" si="15"/>
        <v>1.9500000000000014E-2</v>
      </c>
      <c r="C82">
        <f t="shared" si="8"/>
        <v>0.12252211349000201</v>
      </c>
      <c r="D82">
        <f t="shared" si="9"/>
        <v>-0.15643446504022671</v>
      </c>
      <c r="E82">
        <f t="shared" si="10"/>
        <v>0.35836794954530443</v>
      </c>
      <c r="F82">
        <f t="shared" si="11"/>
        <v>-5.6061098474682651E-2</v>
      </c>
      <c r="G82">
        <f t="shared" si="12"/>
        <v>2.4471741852421913E-2</v>
      </c>
      <c r="H82">
        <f t="shared" si="13"/>
        <v>0.12842758726130588</v>
      </c>
    </row>
    <row r="83" spans="1:14" x14ac:dyDescent="0.25">
      <c r="A83">
        <f t="shared" si="14"/>
        <v>79</v>
      </c>
      <c r="B83">
        <f t="shared" si="15"/>
        <v>1.9750000000000014E-2</v>
      </c>
      <c r="C83">
        <f t="shared" si="8"/>
        <v>0.12409290981679692</v>
      </c>
      <c r="D83">
        <f t="shared" si="9"/>
        <v>-7.8459095727840322E-2</v>
      </c>
      <c r="E83">
        <f t="shared" si="10"/>
        <v>0.43051109680829958</v>
      </c>
      <c r="F83">
        <f t="shared" si="11"/>
        <v>-3.3777511356379908E-2</v>
      </c>
      <c r="G83">
        <f t="shared" si="12"/>
        <v>6.1558297024304114E-3</v>
      </c>
      <c r="H83">
        <f t="shared" si="13"/>
        <v>0.18533980447508508</v>
      </c>
    </row>
    <row r="84" spans="1:14" x14ac:dyDescent="0.25">
      <c r="A84">
        <f t="shared" si="14"/>
        <v>80</v>
      </c>
      <c r="B84">
        <f t="shared" si="15"/>
        <v>2.0000000000000014E-2</v>
      </c>
      <c r="C84">
        <f t="shared" si="8"/>
        <v>0.12566370614359182</v>
      </c>
      <c r="D84">
        <f t="shared" si="9"/>
        <v>4.1958624075189022E-15</v>
      </c>
      <c r="E84">
        <f t="shared" si="10"/>
        <v>0.50000000000000389</v>
      </c>
      <c r="F84">
        <f t="shared" si="11"/>
        <v>2.0979312037594673E-15</v>
      </c>
      <c r="G84">
        <f t="shared" si="12"/>
        <v>1.7605261342830318E-29</v>
      </c>
      <c r="H84">
        <f t="shared" si="13"/>
        <v>0.25000000000000389</v>
      </c>
      <c r="I84">
        <f>SQRT(SUM(G4:G84)/80)</f>
        <v>0.70710678118654735</v>
      </c>
      <c r="J84">
        <f>SQRT(SUM(H4:H84)/80)</f>
        <v>0.70931304795555528</v>
      </c>
      <c r="K84">
        <f t="shared" ref="K84:K144" si="16">AVERAGE(F8:F84)</f>
        <v>0.44594072528722434</v>
      </c>
      <c r="L84">
        <f>I84*J84</f>
        <v>0.50156006619347182</v>
      </c>
      <c r="M84">
        <f t="shared" ref="M84:M132" si="17">SQRT(POWER(L84,2)-POWER(K84,2))</f>
        <v>0.22956343247630748</v>
      </c>
      <c r="N84">
        <f t="shared" ref="N84:N133" si="18">K84/L84</f>
        <v>0.88910731803597598</v>
      </c>
    </row>
    <row r="85" spans="1:14" x14ac:dyDescent="0.25">
      <c r="A85">
        <f t="shared" si="14"/>
        <v>81</v>
      </c>
      <c r="B85">
        <f t="shared" si="15"/>
        <v>2.0250000000000015E-2</v>
      </c>
      <c r="C85">
        <f t="shared" si="8"/>
        <v>0.1272345024703867</v>
      </c>
      <c r="D85">
        <f t="shared" si="9"/>
        <v>7.8459095727848677E-2</v>
      </c>
      <c r="E85">
        <f t="shared" si="10"/>
        <v>0.56640623692483616</v>
      </c>
      <c r="F85">
        <f t="shared" si="11"/>
        <v>4.4439721163736255E-2</v>
      </c>
      <c r="G85">
        <f t="shared" si="12"/>
        <v>6.1558297024317228E-3</v>
      </c>
      <c r="H85">
        <f t="shared" si="13"/>
        <v>0.32081602522735364</v>
      </c>
      <c r="I85">
        <f>SQRT(SUM(G5:G85)/80)</f>
        <v>0.70716118945490791</v>
      </c>
      <c r="J85">
        <f t="shared" ref="J85:J148" si="19">SQRT(SUM(H5:H85)/80)</f>
        <v>0.70993675796886435</v>
      </c>
      <c r="K85">
        <f t="shared" si="16"/>
        <v>0.44353546997306093</v>
      </c>
      <c r="L85">
        <f t="shared" ref="L85:L148" si="20">I85*J85</f>
        <v>0.50203972220302318</v>
      </c>
      <c r="M85">
        <f t="shared" si="17"/>
        <v>0.23520240123235275</v>
      </c>
      <c r="N85">
        <f t="shared" si="18"/>
        <v>0.88346688590050781</v>
      </c>
    </row>
    <row r="86" spans="1:14" x14ac:dyDescent="0.25">
      <c r="A86">
        <f t="shared" si="14"/>
        <v>82</v>
      </c>
      <c r="B86">
        <f t="shared" si="15"/>
        <v>2.0500000000000015E-2</v>
      </c>
      <c r="C86">
        <f t="shared" si="8"/>
        <v>0.12880529879718161</v>
      </c>
      <c r="D86">
        <f t="shared" si="9"/>
        <v>0.156434465040235</v>
      </c>
      <c r="E86">
        <f t="shared" si="10"/>
        <v>0.62932039104984094</v>
      </c>
      <c r="F86">
        <f t="shared" si="11"/>
        <v>9.8447398712793371E-2</v>
      </c>
      <c r="G86">
        <f t="shared" si="12"/>
        <v>2.4471741852424508E-2</v>
      </c>
      <c r="H86">
        <f t="shared" si="13"/>
        <v>0.39604415459112474</v>
      </c>
      <c r="I86">
        <f>SQRT(SUM(G6:G86)/80)</f>
        <v>0.70732304979631133</v>
      </c>
      <c r="J86">
        <f t="shared" si="19"/>
        <v>0.7105987277869199</v>
      </c>
      <c r="K86">
        <f t="shared" si="16"/>
        <v>0.44087110918568218</v>
      </c>
      <c r="L86">
        <f t="shared" si="20"/>
        <v>0.50262285931962303</v>
      </c>
      <c r="M86">
        <f t="shared" si="17"/>
        <v>0.24137606301375422</v>
      </c>
      <c r="N86">
        <f t="shared" si="18"/>
        <v>0.87714098356463277</v>
      </c>
    </row>
    <row r="87" spans="1:14" x14ac:dyDescent="0.25">
      <c r="A87">
        <f t="shared" si="14"/>
        <v>83</v>
      </c>
      <c r="B87">
        <f t="shared" si="15"/>
        <v>2.0750000000000015E-2</v>
      </c>
      <c r="C87">
        <f t="shared" si="8"/>
        <v>0.13037609512397652</v>
      </c>
      <c r="D87">
        <f t="shared" si="9"/>
        <v>0.23344536385590992</v>
      </c>
      <c r="E87">
        <f t="shared" si="10"/>
        <v>0.68835457569375758</v>
      </c>
      <c r="F87">
        <f t="shared" si="11"/>
        <v>0.16069318438470973</v>
      </c>
      <c r="G87">
        <f t="shared" si="12"/>
        <v>5.4496737905818174E-2</v>
      </c>
      <c r="H87">
        <f t="shared" si="13"/>
        <v>0.47383202187853302</v>
      </c>
      <c r="I87">
        <f t="shared" ref="I87:I148" si="21">SQRT(SUM(G7:G87)/80)</f>
        <v>77.83471353842225</v>
      </c>
      <c r="J87">
        <f t="shared" si="19"/>
        <v>0.71128257413877483</v>
      </c>
      <c r="K87">
        <f t="shared" si="16"/>
        <v>0.43801324833017985</v>
      </c>
      <c r="L87">
        <f t="shared" si="20"/>
        <v>55.362475402963128</v>
      </c>
      <c r="M87">
        <f t="shared" si="17"/>
        <v>55.360742653418086</v>
      </c>
      <c r="N87">
        <f t="shared" si="18"/>
        <v>7.9117352528412475E-3</v>
      </c>
    </row>
    <row r="88" spans="1:14" x14ac:dyDescent="0.25">
      <c r="A88">
        <f t="shared" si="14"/>
        <v>84</v>
      </c>
      <c r="B88">
        <f t="shared" si="15"/>
        <v>2.1000000000000015E-2</v>
      </c>
      <c r="C88">
        <f t="shared" si="8"/>
        <v>0.1319468914507714</v>
      </c>
      <c r="D88">
        <f t="shared" si="9"/>
        <v>0.30901699437495139</v>
      </c>
      <c r="E88">
        <f t="shared" si="10"/>
        <v>0.74314482547739724</v>
      </c>
      <c r="F88">
        <f t="shared" si="11"/>
        <v>0.22964438035432311</v>
      </c>
      <c r="G88">
        <f t="shared" si="12"/>
        <v>9.5491502812528745E-2</v>
      </c>
      <c r="H88">
        <f t="shared" si="13"/>
        <v>0.5522642316338312</v>
      </c>
      <c r="I88">
        <f t="shared" si="21"/>
        <v>77.874534283040134</v>
      </c>
      <c r="J88">
        <f t="shared" si="19"/>
        <v>0.71197141999902147</v>
      </c>
      <c r="K88">
        <f t="shared" si="16"/>
        <v>0.43503225742551277</v>
      </c>
      <c r="L88">
        <f t="shared" si="20"/>
        <v>55.444442755258564</v>
      </c>
      <c r="M88">
        <f t="shared" si="17"/>
        <v>55.44273603797113</v>
      </c>
      <c r="N88">
        <f t="shared" si="18"/>
        <v>7.8462734190660188E-3</v>
      </c>
    </row>
    <row r="89" spans="1:14" x14ac:dyDescent="0.25">
      <c r="A89">
        <f t="shared" si="14"/>
        <v>85</v>
      </c>
      <c r="B89">
        <f t="shared" si="15"/>
        <v>2.1250000000000015E-2</v>
      </c>
      <c r="C89">
        <f t="shared" si="8"/>
        <v>0.13351768777756631</v>
      </c>
      <c r="D89">
        <f t="shared" si="9"/>
        <v>0.38268343236509406</v>
      </c>
      <c r="E89">
        <f t="shared" si="10"/>
        <v>0.79335334029123816</v>
      </c>
      <c r="F89">
        <f t="shared" si="11"/>
        <v>0.30360317934096348</v>
      </c>
      <c r="G89">
        <f t="shared" si="12"/>
        <v>0.14644660940672952</v>
      </c>
      <c r="H89">
        <f t="shared" si="13"/>
        <v>0.62940952255126514</v>
      </c>
      <c r="I89">
        <f t="shared" si="21"/>
        <v>77.924001756023586</v>
      </c>
      <c r="J89">
        <f t="shared" si="19"/>
        <v>0.71264831370872617</v>
      </c>
      <c r="K89">
        <f t="shared" si="16"/>
        <v>0.43200153836109539</v>
      </c>
      <c r="L89">
        <f t="shared" si="20"/>
        <v>55.532408448866022</v>
      </c>
      <c r="M89">
        <f t="shared" si="17"/>
        <v>55.530728095375629</v>
      </c>
      <c r="N89">
        <f t="shared" si="18"/>
        <v>7.7792689067120212E-3</v>
      </c>
    </row>
    <row r="90" spans="1:14" x14ac:dyDescent="0.25">
      <c r="A90">
        <f t="shared" si="14"/>
        <v>86</v>
      </c>
      <c r="B90">
        <f t="shared" si="15"/>
        <v>2.1500000000000016E-2</v>
      </c>
      <c r="C90">
        <f t="shared" si="8"/>
        <v>0.1350884841043612</v>
      </c>
      <c r="D90">
        <f t="shared" si="9"/>
        <v>0.45399049973955052</v>
      </c>
      <c r="E90">
        <f t="shared" si="10"/>
        <v>0.83867056794542649</v>
      </c>
      <c r="F90">
        <f t="shared" si="11"/>
        <v>0.38074847025839681</v>
      </c>
      <c r="G90">
        <f t="shared" si="12"/>
        <v>0.20610737385376682</v>
      </c>
      <c r="H90">
        <f t="shared" si="13"/>
        <v>0.70336832153790418</v>
      </c>
      <c r="I90">
        <f t="shared" si="21"/>
        <v>77.981880846100267</v>
      </c>
      <c r="J90">
        <f t="shared" si="19"/>
        <v>0.71329664517592117</v>
      </c>
      <c r="K90">
        <f t="shared" si="16"/>
        <v>0.4289957174986736</v>
      </c>
      <c r="L90">
        <f t="shared" si="20"/>
        <v>55.624213992031748</v>
      </c>
      <c r="M90">
        <f t="shared" si="17"/>
        <v>55.622559675959792</v>
      </c>
      <c r="N90">
        <f t="shared" si="18"/>
        <v>7.7123915415708687E-3</v>
      </c>
    </row>
    <row r="91" spans="1:14" x14ac:dyDescent="0.25">
      <c r="A91">
        <f t="shared" si="14"/>
        <v>87</v>
      </c>
      <c r="B91">
        <f t="shared" si="15"/>
        <v>2.1750000000000016E-2</v>
      </c>
      <c r="C91">
        <f t="shared" si="8"/>
        <v>0.1366592804311561</v>
      </c>
      <c r="D91">
        <f t="shared" si="9"/>
        <v>0.5224985647159528</v>
      </c>
      <c r="E91">
        <f t="shared" si="10"/>
        <v>0.87881711266196771</v>
      </c>
      <c r="F91">
        <f t="shared" si="11"/>
        <v>0.45918068001369594</v>
      </c>
      <c r="G91">
        <f t="shared" si="12"/>
        <v>0.27300475013023073</v>
      </c>
      <c r="H91">
        <f t="shared" si="13"/>
        <v>0.77231951750751771</v>
      </c>
      <c r="I91">
        <f t="shared" si="21"/>
        <v>78.046729389880241</v>
      </c>
      <c r="J91">
        <f t="shared" si="19"/>
        <v>0.7139005490744802</v>
      </c>
      <c r="K91">
        <f t="shared" si="16"/>
        <v>0.42608880812362804</v>
      </c>
      <c r="L91">
        <f t="shared" si="20"/>
        <v>55.717602964902873</v>
      </c>
      <c r="M91">
        <f t="shared" si="17"/>
        <v>55.715973728206038</v>
      </c>
      <c r="N91">
        <f t="shared" si="18"/>
        <v>7.6472925152940626E-3</v>
      </c>
    </row>
    <row r="92" spans="1:14" x14ac:dyDescent="0.25">
      <c r="A92">
        <f t="shared" si="14"/>
        <v>88</v>
      </c>
      <c r="B92">
        <f t="shared" si="15"/>
        <v>2.2000000000000016E-2</v>
      </c>
      <c r="C92">
        <f t="shared" si="8"/>
        <v>0.13823007675795099</v>
      </c>
      <c r="D92">
        <f t="shared" si="9"/>
        <v>0.58778525229247647</v>
      </c>
      <c r="E92">
        <f t="shared" si="10"/>
        <v>0.91354545764260275</v>
      </c>
      <c r="F92">
        <f t="shared" si="11"/>
        <v>0.53696854730110311</v>
      </c>
      <c r="G92">
        <f t="shared" si="12"/>
        <v>0.34549150281253022</v>
      </c>
      <c r="H92">
        <f t="shared" si="13"/>
        <v>0.83456530317943245</v>
      </c>
      <c r="I92">
        <f t="shared" si="21"/>
        <v>78.116935358476482</v>
      </c>
      <c r="J92">
        <f t="shared" si="19"/>
        <v>0.7144452857215472</v>
      </c>
      <c r="K92">
        <f t="shared" si="16"/>
        <v>0.42335238799225089</v>
      </c>
      <c r="L92">
        <f t="shared" si="20"/>
        <v>55.810276201878366</v>
      </c>
      <c r="M92">
        <f t="shared" si="17"/>
        <v>55.808670495591741</v>
      </c>
      <c r="N92">
        <f t="shared" si="18"/>
        <v>7.5855633908868281E-3</v>
      </c>
    </row>
    <row r="93" spans="1:14" x14ac:dyDescent="0.25">
      <c r="A93">
        <f t="shared" si="14"/>
        <v>89</v>
      </c>
      <c r="B93">
        <f t="shared" si="15"/>
        <v>2.2250000000000016E-2</v>
      </c>
      <c r="C93">
        <f t="shared" si="8"/>
        <v>0.1398008730847459</v>
      </c>
      <c r="D93">
        <f t="shared" si="9"/>
        <v>0.64944804833018721</v>
      </c>
      <c r="E93">
        <f t="shared" si="10"/>
        <v>0.94264149109217998</v>
      </c>
      <c r="F93">
        <f t="shared" si="11"/>
        <v>0.61219667666487387</v>
      </c>
      <c r="G93">
        <f t="shared" si="12"/>
        <v>0.42178276747988919</v>
      </c>
      <c r="H93">
        <f t="shared" si="13"/>
        <v>0.88857298072848845</v>
      </c>
      <c r="I93">
        <f t="shared" si="21"/>
        <v>78.190758044549824</v>
      </c>
      <c r="J93">
        <f t="shared" si="19"/>
        <v>0.71491759123629517</v>
      </c>
      <c r="K93">
        <f t="shared" si="16"/>
        <v>0.42085383684983485</v>
      </c>
      <c r="L93">
        <f t="shared" si="20"/>
        <v>55.899948398149526</v>
      </c>
      <c r="M93">
        <f t="shared" si="17"/>
        <v>55.898364134952899</v>
      </c>
      <c r="N93">
        <f t="shared" si="18"/>
        <v>7.5286981278101951E-3</v>
      </c>
    </row>
    <row r="94" spans="1:14" x14ac:dyDescent="0.25">
      <c r="A94">
        <f t="shared" si="14"/>
        <v>90</v>
      </c>
      <c r="B94">
        <f t="shared" si="15"/>
        <v>2.2500000000000017E-2</v>
      </c>
      <c r="C94">
        <f t="shared" si="8"/>
        <v>0.14137166941154081</v>
      </c>
      <c r="D94">
        <f t="shared" si="9"/>
        <v>0.70710678118655168</v>
      </c>
      <c r="E94">
        <f t="shared" si="10"/>
        <v>0.96592582628906987</v>
      </c>
      <c r="F94">
        <f t="shared" si="11"/>
        <v>0.68301270189222441</v>
      </c>
      <c r="G94">
        <f t="shared" si="12"/>
        <v>0.50000000000000588</v>
      </c>
      <c r="H94">
        <f t="shared" si="13"/>
        <v>0.93301270189222241</v>
      </c>
      <c r="I94">
        <f t="shared" si="21"/>
        <v>78.26637208916739</v>
      </c>
      <c r="J94">
        <f t="shared" si="19"/>
        <v>0.7153059896111964</v>
      </c>
      <c r="K94">
        <f t="shared" si="16"/>
        <v>0.41865467731772177</v>
      </c>
      <c r="L94">
        <f t="shared" si="20"/>
        <v>55.984404740519999</v>
      </c>
      <c r="M94">
        <f t="shared" si="17"/>
        <v>55.982839356462783</v>
      </c>
      <c r="N94">
        <f t="shared" si="18"/>
        <v>7.4780589211965098E-3</v>
      </c>
    </row>
    <row r="95" spans="1:14" x14ac:dyDescent="0.25">
      <c r="A95">
        <f t="shared" si="14"/>
        <v>91</v>
      </c>
      <c r="B95">
        <f t="shared" si="15"/>
        <v>2.2750000000000017E-2</v>
      </c>
      <c r="C95">
        <f t="shared" si="8"/>
        <v>0.14294246573833569</v>
      </c>
      <c r="D95">
        <f t="shared" si="9"/>
        <v>0.76040596560003393</v>
      </c>
      <c r="E95">
        <f t="shared" si="10"/>
        <v>0.9832549075639555</v>
      </c>
      <c r="F95">
        <f t="shared" si="11"/>
        <v>0.74767289741714171</v>
      </c>
      <c r="G95">
        <f t="shared" si="12"/>
        <v>0.57821723252012003</v>
      </c>
      <c r="H95">
        <f t="shared" si="13"/>
        <v>0.9667902132486027</v>
      </c>
      <c r="I95">
        <f t="shared" si="21"/>
        <v>78.341913152658378</v>
      </c>
      <c r="J95">
        <f t="shared" si="19"/>
        <v>0.71560106041397664</v>
      </c>
      <c r="K95">
        <f t="shared" si="16"/>
        <v>0.41680906000218437</v>
      </c>
      <c r="L95">
        <f t="shared" si="20"/>
        <v>56.061556126901998</v>
      </c>
      <c r="M95">
        <f t="shared" si="17"/>
        <v>56.060006649814831</v>
      </c>
      <c r="N95">
        <f t="shared" si="18"/>
        <v>7.434846422362724E-3</v>
      </c>
    </row>
    <row r="96" spans="1:14" x14ac:dyDescent="0.25">
      <c r="A96">
        <f t="shared" si="14"/>
        <v>92</v>
      </c>
      <c r="B96">
        <f t="shared" si="15"/>
        <v>2.3000000000000017E-2</v>
      </c>
      <c r="C96">
        <f t="shared" si="8"/>
        <v>0.1445132620651306</v>
      </c>
      <c r="D96">
        <f t="shared" si="9"/>
        <v>0.80901699437495034</v>
      </c>
      <c r="E96">
        <f t="shared" si="10"/>
        <v>0.99452189536827384</v>
      </c>
      <c r="F96">
        <f t="shared" si="11"/>
        <v>0.80458511463091975</v>
      </c>
      <c r="G96">
        <f t="shared" si="12"/>
        <v>0.65450849718747839</v>
      </c>
      <c r="H96">
        <f t="shared" si="13"/>
        <v>0.98907380036690384</v>
      </c>
      <c r="I96">
        <f t="shared" si="21"/>
        <v>78.415524038289803</v>
      </c>
      <c r="J96">
        <f t="shared" si="19"/>
        <v>0.71579565694727887</v>
      </c>
      <c r="K96">
        <f t="shared" si="16"/>
        <v>0.41536243012678398</v>
      </c>
      <c r="L96">
        <f t="shared" si="20"/>
        <v>56.129491543852787</v>
      </c>
      <c r="M96">
        <f t="shared" si="17"/>
        <v>56.127954666307595</v>
      </c>
      <c r="N96">
        <f t="shared" si="18"/>
        <v>7.4000746969580169E-3</v>
      </c>
    </row>
    <row r="97" spans="1:14" x14ac:dyDescent="0.25">
      <c r="A97">
        <f t="shared" si="14"/>
        <v>93</v>
      </c>
      <c r="B97">
        <f t="shared" si="15"/>
        <v>2.3250000000000017E-2</v>
      </c>
      <c r="C97">
        <f t="shared" si="8"/>
        <v>0.14608405839192548</v>
      </c>
      <c r="D97">
        <f t="shared" si="9"/>
        <v>0.85264016435409462</v>
      </c>
      <c r="E97">
        <f t="shared" si="10"/>
        <v>0.99965732497555737</v>
      </c>
      <c r="F97">
        <f t="shared" si="11"/>
        <v>0.85234798586493377</v>
      </c>
      <c r="G97">
        <f t="shared" si="12"/>
        <v>0.72699524986977748</v>
      </c>
      <c r="H97">
        <f t="shared" si="13"/>
        <v>0.99931476737728708</v>
      </c>
      <c r="I97">
        <f t="shared" si="21"/>
        <v>78.485400117109705</v>
      </c>
      <c r="J97">
        <f t="shared" si="19"/>
        <v>0.71588507079853003</v>
      </c>
      <c r="K97">
        <f t="shared" si="16"/>
        <v>0.41435040852014215</v>
      </c>
      <c r="L97">
        <f t="shared" si="20"/>
        <v>56.186526219488037</v>
      </c>
      <c r="M97">
        <f t="shared" si="17"/>
        <v>56.184998374585504</v>
      </c>
      <c r="N97">
        <f t="shared" si="18"/>
        <v>7.3745510961385373E-3</v>
      </c>
    </row>
    <row r="98" spans="1:14" x14ac:dyDescent="0.25">
      <c r="A98">
        <f t="shared" si="14"/>
        <v>94</v>
      </c>
      <c r="B98">
        <f t="shared" si="15"/>
        <v>2.3500000000000017E-2</v>
      </c>
      <c r="C98">
        <f t="shared" si="8"/>
        <v>0.14765485471872039</v>
      </c>
      <c r="D98">
        <f t="shared" si="9"/>
        <v>0.89100652418837012</v>
      </c>
      <c r="E98">
        <f t="shared" si="10"/>
        <v>0.99862953475457361</v>
      </c>
      <c r="F98">
        <f t="shared" si="11"/>
        <v>0.88978543071352179</v>
      </c>
      <c r="G98">
        <f t="shared" si="12"/>
        <v>0.79389262614624057</v>
      </c>
      <c r="H98">
        <f t="shared" si="13"/>
        <v>0.99726094768413609</v>
      </c>
      <c r="I98">
        <f t="shared" si="21"/>
        <v>78.549832970571117</v>
      </c>
      <c r="J98">
        <f t="shared" si="19"/>
        <v>0.71586713980043248</v>
      </c>
      <c r="K98">
        <f t="shared" si="16"/>
        <v>0.41379791451292153</v>
      </c>
      <c r="L98">
        <f t="shared" si="20"/>
        <v>56.231244260444456</v>
      </c>
      <c r="M98">
        <f t="shared" si="17"/>
        <v>56.229721699148683</v>
      </c>
      <c r="N98">
        <f t="shared" si="18"/>
        <v>7.3588610736825769E-3</v>
      </c>
    </row>
    <row r="99" spans="1:14" x14ac:dyDescent="0.25">
      <c r="A99">
        <f t="shared" si="14"/>
        <v>95</v>
      </c>
      <c r="B99">
        <f t="shared" si="15"/>
        <v>2.3750000000000018E-2</v>
      </c>
      <c r="C99">
        <f t="shared" si="8"/>
        <v>0.14922565104551527</v>
      </c>
      <c r="D99">
        <f t="shared" si="9"/>
        <v>0.92387953251128851</v>
      </c>
      <c r="E99">
        <f t="shared" si="10"/>
        <v>0.99144486137380983</v>
      </c>
      <c r="F99">
        <f t="shared" si="11"/>
        <v>0.91597561503675462</v>
      </c>
      <c r="G99">
        <f t="shared" si="12"/>
        <v>0.85355339059327706</v>
      </c>
      <c r="H99">
        <f t="shared" si="13"/>
        <v>0.98296291314453299</v>
      </c>
      <c r="I99">
        <f t="shared" si="21"/>
        <v>78.607251257929349</v>
      </c>
      <c r="J99">
        <f t="shared" si="19"/>
        <v>0.71574229748863305</v>
      </c>
      <c r="K99">
        <f t="shared" si="16"/>
        <v>0.41371855234120247</v>
      </c>
      <c r="L99">
        <f t="shared" si="20"/>
        <v>56.262534614616591</v>
      </c>
      <c r="M99">
        <f t="shared" si="17"/>
        <v>56.261013483764927</v>
      </c>
      <c r="N99">
        <f t="shared" si="18"/>
        <v>7.3533578814936901E-3</v>
      </c>
    </row>
    <row r="100" spans="1:14" x14ac:dyDescent="0.25">
      <c r="A100">
        <f t="shared" si="14"/>
        <v>96</v>
      </c>
      <c r="B100">
        <f t="shared" si="15"/>
        <v>2.4000000000000018E-2</v>
      </c>
      <c r="C100">
        <f t="shared" si="8"/>
        <v>0.15079644737231018</v>
      </c>
      <c r="D100">
        <f t="shared" si="9"/>
        <v>0.95105651629515509</v>
      </c>
      <c r="E100">
        <f t="shared" si="10"/>
        <v>0.97814760073380469</v>
      </c>
      <c r="F100">
        <f t="shared" si="11"/>
        <v>0.93027364957635661</v>
      </c>
      <c r="G100">
        <f t="shared" si="12"/>
        <v>0.90450849718747661</v>
      </c>
      <c r="H100">
        <f t="shared" si="13"/>
        <v>0.9567727288212986</v>
      </c>
      <c r="I100">
        <f t="shared" si="21"/>
        <v>78.656257921411495</v>
      </c>
      <c r="J100">
        <f t="shared" si="19"/>
        <v>0.71551356319098969</v>
      </c>
      <c r="K100">
        <f t="shared" si="16"/>
        <v>0.41411427616504065</v>
      </c>
      <c r="L100">
        <f t="shared" si="20"/>
        <v>56.279619372618647</v>
      </c>
      <c r="M100">
        <f t="shared" si="17"/>
        <v>56.278095793062406</v>
      </c>
      <c r="N100">
        <f t="shared" si="18"/>
        <v>7.3581570163659803E-3</v>
      </c>
    </row>
    <row r="101" spans="1:14" x14ac:dyDescent="0.25">
      <c r="A101">
        <f t="shared" si="14"/>
        <v>97</v>
      </c>
      <c r="B101">
        <f t="shared" si="15"/>
        <v>2.4250000000000018E-2</v>
      </c>
      <c r="C101">
        <f t="shared" si="8"/>
        <v>0.15236724369910509</v>
      </c>
      <c r="D101">
        <f t="shared" si="9"/>
        <v>0.97236992039767811</v>
      </c>
      <c r="E101">
        <f t="shared" si="10"/>
        <v>0.95881973486819116</v>
      </c>
      <c r="F101">
        <f t="shared" si="11"/>
        <v>0.93232746926950583</v>
      </c>
      <c r="G101">
        <f t="shared" si="12"/>
        <v>0.94550326209418689</v>
      </c>
      <c r="H101">
        <f t="shared" si="13"/>
        <v>0.91933528397270836</v>
      </c>
      <c r="I101">
        <f t="shared" si="21"/>
        <v>78.69566295795309</v>
      </c>
      <c r="J101">
        <f t="shared" si="19"/>
        <v>0.71518647292133464</v>
      </c>
      <c r="K101">
        <f t="shared" si="16"/>
        <v>0.41497534195056102</v>
      </c>
      <c r="L101">
        <f t="shared" si="20"/>
        <v>56.282073625104594</v>
      </c>
      <c r="M101">
        <f t="shared" si="17"/>
        <v>56.280543769648027</v>
      </c>
      <c r="N101">
        <f t="shared" si="18"/>
        <v>7.3731352670961545E-3</v>
      </c>
    </row>
    <row r="102" spans="1:14" x14ac:dyDescent="0.25">
      <c r="A102">
        <f t="shared" si="14"/>
        <v>98</v>
      </c>
      <c r="B102">
        <f t="shared" si="15"/>
        <v>2.4500000000000018E-2</v>
      </c>
      <c r="C102">
        <f t="shared" si="8"/>
        <v>0.15393804002589997</v>
      </c>
      <c r="D102">
        <f t="shared" si="9"/>
        <v>0.98768834059513855</v>
      </c>
      <c r="E102">
        <f t="shared" si="10"/>
        <v>0.93358042649719986</v>
      </c>
      <c r="F102">
        <f t="shared" si="11"/>
        <v>0.92208650225912103</v>
      </c>
      <c r="G102">
        <f t="shared" si="12"/>
        <v>0.97552825814757838</v>
      </c>
      <c r="H102">
        <f t="shared" si="13"/>
        <v>0.87157241273869357</v>
      </c>
      <c r="I102">
        <f t="shared" si="21"/>
        <v>78.72451110705498</v>
      </c>
      <c r="J102">
        <f t="shared" si="19"/>
        <v>0.71476895229104198</v>
      </c>
      <c r="K102">
        <f t="shared" si="16"/>
        <v>0.41628054740041054</v>
      </c>
      <c r="L102">
        <f t="shared" si="20"/>
        <v>56.269836323614186</v>
      </c>
      <c r="M102">
        <f t="shared" si="17"/>
        <v>56.268296494493121</v>
      </c>
      <c r="N102">
        <f t="shared" si="18"/>
        <v>7.3979342148133165E-3</v>
      </c>
    </row>
    <row r="103" spans="1:14" x14ac:dyDescent="0.25">
      <c r="A103">
        <f t="shared" si="14"/>
        <v>99</v>
      </c>
      <c r="B103">
        <f t="shared" si="15"/>
        <v>2.4750000000000019E-2</v>
      </c>
      <c r="C103">
        <f t="shared" si="8"/>
        <v>0.15550883635269488</v>
      </c>
      <c r="D103">
        <f t="shared" si="9"/>
        <v>0.99691733373312852</v>
      </c>
      <c r="E103">
        <f t="shared" si="10"/>
        <v>0.90258528434985819</v>
      </c>
      <c r="F103">
        <f t="shared" si="11"/>
        <v>0.89980291514081823</v>
      </c>
      <c r="G103">
        <f t="shared" si="12"/>
        <v>0.99384417029757</v>
      </c>
      <c r="H103">
        <f t="shared" si="13"/>
        <v>0.81466019552491431</v>
      </c>
      <c r="I103">
        <f t="shared" si="21"/>
        <v>78.742103926409726</v>
      </c>
      <c r="J103">
        <f t="shared" si="19"/>
        <v>0.71427113370488482</v>
      </c>
      <c r="K103">
        <f t="shared" si="16"/>
        <v>0.41799775402468548</v>
      </c>
      <c r="L103">
        <f t="shared" si="20"/>
        <v>56.243211841824539</v>
      </c>
      <c r="M103">
        <f t="shared" si="17"/>
        <v>56.241658547396902</v>
      </c>
      <c r="N103">
        <f t="shared" si="18"/>
        <v>7.4319680604343942E-3</v>
      </c>
    </row>
    <row r="104" spans="1:14" x14ac:dyDescent="0.25">
      <c r="A104">
        <f t="shared" si="14"/>
        <v>100</v>
      </c>
      <c r="B104">
        <f t="shared" si="15"/>
        <v>2.5000000000000019E-2</v>
      </c>
      <c r="C104">
        <f t="shared" si="8"/>
        <v>0.15707963267948977</v>
      </c>
      <c r="D104">
        <f t="shared" si="9"/>
        <v>1</v>
      </c>
      <c r="E104">
        <f t="shared" si="10"/>
        <v>0.86602540378443649</v>
      </c>
      <c r="F104">
        <f t="shared" si="11"/>
        <v>0.86602540378443649</v>
      </c>
      <c r="G104">
        <f t="shared" si="12"/>
        <v>1</v>
      </c>
      <c r="H104">
        <f t="shared" si="13"/>
        <v>0.74999999999999623</v>
      </c>
      <c r="I104">
        <f t="shared" si="21"/>
        <v>78.748015848019961</v>
      </c>
      <c r="J104">
        <f t="shared" si="19"/>
        <v>0.71370512118100993</v>
      </c>
      <c r="K104">
        <f t="shared" si="16"/>
        <v>0.42008467849721409</v>
      </c>
      <c r="L104">
        <f t="shared" si="20"/>
        <v>56.202862193575179</v>
      </c>
      <c r="M104">
        <f t="shared" si="17"/>
        <v>56.201292223692633</v>
      </c>
      <c r="N104">
        <f t="shared" si="18"/>
        <v>7.4744356799899062E-3</v>
      </c>
    </row>
    <row r="105" spans="1:14" x14ac:dyDescent="0.25">
      <c r="A105">
        <f t="shared" si="14"/>
        <v>101</v>
      </c>
      <c r="B105">
        <f t="shared" si="15"/>
        <v>2.5250000000000019E-2</v>
      </c>
      <c r="C105">
        <f t="shared" si="8"/>
        <v>0.15865042900628468</v>
      </c>
      <c r="D105">
        <f t="shared" si="9"/>
        <v>0.99691733373312752</v>
      </c>
      <c r="E105">
        <f t="shared" si="10"/>
        <v>0.82412618862201292</v>
      </c>
      <c r="F105">
        <f t="shared" si="11"/>
        <v>0.82158568262070164</v>
      </c>
      <c r="G105">
        <f t="shared" si="12"/>
        <v>0.993844170297568</v>
      </c>
      <c r="H105">
        <f t="shared" si="13"/>
        <v>0.67918397477264558</v>
      </c>
      <c r="I105">
        <f t="shared" si="21"/>
        <v>78.742103926409726</v>
      </c>
      <c r="J105">
        <f t="shared" si="19"/>
        <v>0.71308470722955353</v>
      </c>
      <c r="K105">
        <f t="shared" si="16"/>
        <v>0.42248993381137762</v>
      </c>
      <c r="L105">
        <f t="shared" si="20"/>
        <v>56.149790125002959</v>
      </c>
      <c r="M105">
        <f t="shared" si="17"/>
        <v>56.148200624220429</v>
      </c>
      <c r="N105">
        <f t="shared" si="18"/>
        <v>7.5243368295912286E-3</v>
      </c>
    </row>
    <row r="106" spans="1:14" x14ac:dyDescent="0.25">
      <c r="A106">
        <f t="shared" si="14"/>
        <v>102</v>
      </c>
      <c r="B106">
        <f t="shared" si="15"/>
        <v>2.5500000000000019E-2</v>
      </c>
      <c r="C106">
        <f t="shared" si="8"/>
        <v>0.16022122533307956</v>
      </c>
      <c r="D106">
        <f t="shared" si="9"/>
        <v>0.98768834059513677</v>
      </c>
      <c r="E106">
        <f t="shared" si="10"/>
        <v>0.77714596145696757</v>
      </c>
      <c r="F106">
        <f t="shared" si="11"/>
        <v>0.76757800507164442</v>
      </c>
      <c r="G106">
        <f t="shared" si="12"/>
        <v>0.97552825814757493</v>
      </c>
      <c r="H106">
        <f t="shared" si="13"/>
        <v>0.60395584540887448</v>
      </c>
      <c r="I106">
        <f t="shared" si="21"/>
        <v>78.724511107054994</v>
      </c>
      <c r="J106">
        <f t="shared" si="19"/>
        <v>0.71242504733312884</v>
      </c>
      <c r="K106">
        <f t="shared" si="16"/>
        <v>0.42515429459875631</v>
      </c>
      <c r="L106">
        <f t="shared" si="20"/>
        <v>56.085313551721079</v>
      </c>
      <c r="M106">
        <f t="shared" si="17"/>
        <v>56.083702089115448</v>
      </c>
      <c r="N106">
        <f t="shared" si="18"/>
        <v>7.5804924261800742E-3</v>
      </c>
    </row>
    <row r="107" spans="1:14" x14ac:dyDescent="0.25">
      <c r="A107">
        <f t="shared" si="14"/>
        <v>103</v>
      </c>
      <c r="B107">
        <f t="shared" si="15"/>
        <v>2.5750000000000019E-2</v>
      </c>
      <c r="C107">
        <f t="shared" si="8"/>
        <v>0.16179202165987447</v>
      </c>
      <c r="D107">
        <f t="shared" si="9"/>
        <v>0.97236992039767511</v>
      </c>
      <c r="E107">
        <f t="shared" si="10"/>
        <v>0.72537437101228364</v>
      </c>
      <c r="F107">
        <f t="shared" si="11"/>
        <v>0.7053322193997279</v>
      </c>
      <c r="G107">
        <f t="shared" si="12"/>
        <v>0.94550326209418101</v>
      </c>
      <c r="H107">
        <f t="shared" si="13"/>
        <v>0.5261679781214661</v>
      </c>
      <c r="I107">
        <f t="shared" si="21"/>
        <v>78.69566295795309</v>
      </c>
      <c r="J107">
        <f t="shared" si="19"/>
        <v>0.71174229867735017</v>
      </c>
      <c r="K107">
        <f t="shared" si="16"/>
        <v>0.42801215545425869</v>
      </c>
      <c r="L107">
        <f t="shared" si="20"/>
        <v>56.011032049631531</v>
      </c>
      <c r="M107">
        <f t="shared" si="17"/>
        <v>56.009396683589031</v>
      </c>
      <c r="N107">
        <f t="shared" si="18"/>
        <v>7.6415688087124681E-3</v>
      </c>
    </row>
    <row r="108" spans="1:14" x14ac:dyDescent="0.25">
      <c r="A108">
        <f t="shared" si="14"/>
        <v>104</v>
      </c>
      <c r="B108">
        <f t="shared" si="15"/>
        <v>2.600000000000002E-2</v>
      </c>
      <c r="C108">
        <f t="shared" si="8"/>
        <v>0.16336281798666938</v>
      </c>
      <c r="D108">
        <f t="shared" si="9"/>
        <v>0.95105651629515142</v>
      </c>
      <c r="E108">
        <f t="shared" si="10"/>
        <v>0.66913060635885357</v>
      </c>
      <c r="F108">
        <f t="shared" si="11"/>
        <v>0.6363810234301136</v>
      </c>
      <c r="G108">
        <f t="shared" si="12"/>
        <v>0.90450849718746962</v>
      </c>
      <c r="H108">
        <f t="shared" si="13"/>
        <v>0.44773576836616708</v>
      </c>
      <c r="I108">
        <f t="shared" si="21"/>
        <v>78.656257921411495</v>
      </c>
      <c r="J108">
        <f t="shared" si="19"/>
        <v>0.71105323085165506</v>
      </c>
      <c r="K108">
        <f t="shared" si="16"/>
        <v>0.43099314635892577</v>
      </c>
      <c r="L108">
        <f t="shared" si="20"/>
        <v>55.928786321720729</v>
      </c>
      <c r="M108">
        <f t="shared" si="17"/>
        <v>55.927125657667119</v>
      </c>
      <c r="N108">
        <f t="shared" si="18"/>
        <v>7.706105830362772E-3</v>
      </c>
    </row>
    <row r="109" spans="1:14" x14ac:dyDescent="0.25">
      <c r="A109">
        <f t="shared" si="14"/>
        <v>105</v>
      </c>
      <c r="B109">
        <f t="shared" si="15"/>
        <v>2.625000000000002E-2</v>
      </c>
      <c r="C109">
        <f t="shared" si="8"/>
        <v>0.16493361431346426</v>
      </c>
      <c r="D109">
        <f t="shared" si="9"/>
        <v>0.92387953251128463</v>
      </c>
      <c r="E109">
        <f t="shared" si="10"/>
        <v>0.60876142900871677</v>
      </c>
      <c r="F109">
        <f t="shared" si="11"/>
        <v>0.56242222444347478</v>
      </c>
      <c r="G109">
        <f t="shared" si="12"/>
        <v>0.85355339059326985</v>
      </c>
      <c r="H109">
        <f t="shared" si="13"/>
        <v>0.37059047744873491</v>
      </c>
      <c r="I109">
        <f t="shared" si="21"/>
        <v>78.607251257929349</v>
      </c>
      <c r="J109">
        <f t="shared" si="19"/>
        <v>0.71037481723953944</v>
      </c>
      <c r="K109">
        <f t="shared" si="16"/>
        <v>0.43402386542334309</v>
      </c>
      <c r="L109">
        <f t="shared" si="20"/>
        <v>55.840611746054115</v>
      </c>
      <c r="M109">
        <f t="shared" si="17"/>
        <v>55.838924984797117</v>
      </c>
      <c r="N109">
        <f t="shared" si="18"/>
        <v>7.7725485422178E-3</v>
      </c>
    </row>
    <row r="110" spans="1:14" x14ac:dyDescent="0.25">
      <c r="A110">
        <f t="shared" si="14"/>
        <v>106</v>
      </c>
      <c r="B110">
        <f t="shared" si="15"/>
        <v>2.650000000000002E-2</v>
      </c>
      <c r="C110">
        <f t="shared" si="8"/>
        <v>0.16650441064025917</v>
      </c>
      <c r="D110">
        <f t="shared" si="9"/>
        <v>0.89100652418836523</v>
      </c>
      <c r="E110">
        <f t="shared" si="10"/>
        <v>0.54463903501502264</v>
      </c>
      <c r="F110">
        <f t="shared" si="11"/>
        <v>0.48527693352604068</v>
      </c>
      <c r="G110">
        <f t="shared" si="12"/>
        <v>0.79389262614623191</v>
      </c>
      <c r="H110">
        <f t="shared" si="13"/>
        <v>0.29663167846209504</v>
      </c>
      <c r="I110">
        <f t="shared" si="21"/>
        <v>78.549832970571103</v>
      </c>
      <c r="J110">
        <f t="shared" si="19"/>
        <v>0.7097238166926455</v>
      </c>
      <c r="K110">
        <f t="shared" si="16"/>
        <v>0.43702968628576488</v>
      </c>
      <c r="L110">
        <f t="shared" si="20"/>
        <v>55.748687256443525</v>
      </c>
      <c r="M110">
        <f t="shared" si="17"/>
        <v>55.746974230625767</v>
      </c>
      <c r="N110">
        <f t="shared" si="18"/>
        <v>7.8392821031898346E-3</v>
      </c>
    </row>
    <row r="111" spans="1:14" x14ac:dyDescent="0.25">
      <c r="A111">
        <f t="shared" si="14"/>
        <v>107</v>
      </c>
      <c r="B111">
        <f t="shared" si="15"/>
        <v>2.675000000000002E-2</v>
      </c>
      <c r="C111">
        <f t="shared" si="8"/>
        <v>0.16807520696705405</v>
      </c>
      <c r="D111">
        <f t="shared" si="9"/>
        <v>0.85264016435408896</v>
      </c>
      <c r="E111">
        <f t="shared" si="10"/>
        <v>0.47715876025960341</v>
      </c>
      <c r="F111">
        <f t="shared" si="11"/>
        <v>0.4068447237707416</v>
      </c>
      <c r="G111">
        <f t="shared" si="12"/>
        <v>0.72699524986976782</v>
      </c>
      <c r="H111">
        <f t="shared" si="13"/>
        <v>0.22768048249248168</v>
      </c>
      <c r="I111">
        <f t="shared" si="21"/>
        <v>78.485400117109705</v>
      </c>
      <c r="J111">
        <f t="shared" si="19"/>
        <v>0.70911635577749565</v>
      </c>
      <c r="K111">
        <f t="shared" si="16"/>
        <v>0.43993659566081061</v>
      </c>
      <c r="L111">
        <f t="shared" si="20"/>
        <v>55.655280912783468</v>
      </c>
      <c r="M111">
        <f t="shared" si="17"/>
        <v>55.653542108949708</v>
      </c>
      <c r="N111">
        <f t="shared" si="18"/>
        <v>7.9046693942705724E-3</v>
      </c>
    </row>
    <row r="112" spans="1:14" x14ac:dyDescent="0.25">
      <c r="A112">
        <f t="shared" si="14"/>
        <v>108</v>
      </c>
      <c r="B112">
        <f t="shared" si="15"/>
        <v>2.7000000000000021E-2</v>
      </c>
      <c r="C112">
        <f t="shared" si="8"/>
        <v>0.16964600329384896</v>
      </c>
      <c r="D112">
        <f t="shared" si="9"/>
        <v>0.80901699437494345</v>
      </c>
      <c r="E112">
        <f t="shared" si="10"/>
        <v>0.4067366430757946</v>
      </c>
      <c r="F112">
        <f t="shared" si="11"/>
        <v>0.32905685648333349</v>
      </c>
      <c r="G112">
        <f t="shared" si="12"/>
        <v>0.65450849718746729</v>
      </c>
      <c r="H112">
        <f t="shared" si="13"/>
        <v>0.16543469682056633</v>
      </c>
      <c r="I112">
        <f t="shared" si="21"/>
        <v>78.415524038289803</v>
      </c>
      <c r="J112">
        <f t="shared" si="19"/>
        <v>0.70856752233662024</v>
      </c>
      <c r="K112">
        <f t="shared" si="16"/>
        <v>0.44267301579218765</v>
      </c>
      <c r="L112">
        <f t="shared" si="20"/>
        <v>55.562693580538692</v>
      </c>
      <c r="M112">
        <f t="shared" si="17"/>
        <v>55.560930144535241</v>
      </c>
      <c r="N112">
        <f t="shared" si="18"/>
        <v>7.9670906370031998E-3</v>
      </c>
    </row>
    <row r="113" spans="1:14" x14ac:dyDescent="0.25">
      <c r="A113">
        <f t="shared" si="14"/>
        <v>109</v>
      </c>
      <c r="B113">
        <f t="shared" si="15"/>
        <v>2.7250000000000021E-2</v>
      </c>
      <c r="C113">
        <f t="shared" si="8"/>
        <v>0.17121679962064384</v>
      </c>
      <c r="D113">
        <f t="shared" si="9"/>
        <v>0.76040596560002738</v>
      </c>
      <c r="E113">
        <f t="shared" si="10"/>
        <v>0.33380685923376641</v>
      </c>
      <c r="F113">
        <f t="shared" si="11"/>
        <v>0.25382872711956456</v>
      </c>
      <c r="G113">
        <f t="shared" si="12"/>
        <v>0.57821723252011004</v>
      </c>
      <c r="H113">
        <f t="shared" si="13"/>
        <v>0.11142701927151154</v>
      </c>
      <c r="I113">
        <f t="shared" si="21"/>
        <v>78.341913152658364</v>
      </c>
      <c r="J113">
        <f t="shared" si="19"/>
        <v>0.70809098125939551</v>
      </c>
      <c r="K113">
        <f t="shared" si="16"/>
        <v>0.44517156693460369</v>
      </c>
      <c r="L113">
        <f t="shared" si="20"/>
        <v>55.473202158004206</v>
      </c>
      <c r="M113">
        <f t="shared" si="17"/>
        <v>55.471415881864736</v>
      </c>
      <c r="N113">
        <f t="shared" si="18"/>
        <v>8.024984129573455E-3</v>
      </c>
    </row>
    <row r="114" spans="1:14" x14ac:dyDescent="0.25">
      <c r="A114">
        <f t="shared" si="14"/>
        <v>110</v>
      </c>
      <c r="B114">
        <f t="shared" si="15"/>
        <v>2.7500000000000021E-2</v>
      </c>
      <c r="C114">
        <f t="shared" si="8"/>
        <v>0.17278759594743875</v>
      </c>
      <c r="D114">
        <f t="shared" si="9"/>
        <v>0.70710678118654335</v>
      </c>
      <c r="E114">
        <f t="shared" si="10"/>
        <v>0.25881904510251569</v>
      </c>
      <c r="F114">
        <f t="shared" si="11"/>
        <v>0.18301270189221466</v>
      </c>
      <c r="G114">
        <f t="shared" si="12"/>
        <v>0.49999999999999412</v>
      </c>
      <c r="H114">
        <f t="shared" si="13"/>
        <v>6.6987298107778051E-2</v>
      </c>
      <c r="I114">
        <f t="shared" si="21"/>
        <v>78.266372089167376</v>
      </c>
      <c r="J114">
        <f t="shared" si="19"/>
        <v>0.70769862316267562</v>
      </c>
      <c r="K114">
        <f t="shared" si="16"/>
        <v>0.44737072646671688</v>
      </c>
      <c r="L114">
        <f t="shared" si="20"/>
        <v>55.389003767441416</v>
      </c>
      <c r="M114">
        <f t="shared" si="17"/>
        <v>55.387197056564794</v>
      </c>
      <c r="N114">
        <f t="shared" si="18"/>
        <v>8.076887036009282E-3</v>
      </c>
    </row>
    <row r="115" spans="1:14" x14ac:dyDescent="0.25">
      <c r="A115">
        <f t="shared" si="14"/>
        <v>111</v>
      </c>
      <c r="B115">
        <f t="shared" si="15"/>
        <v>2.7750000000000021E-2</v>
      </c>
      <c r="C115">
        <f t="shared" si="8"/>
        <v>0.17435839227423366</v>
      </c>
      <c r="D115">
        <f t="shared" si="9"/>
        <v>0.64944804833017888</v>
      </c>
      <c r="E115">
        <f t="shared" si="10"/>
        <v>0.18223552549214184</v>
      </c>
      <c r="F115">
        <f t="shared" si="11"/>
        <v>0.11835250636729608</v>
      </c>
      <c r="G115">
        <f t="shared" si="12"/>
        <v>0.42178276747987836</v>
      </c>
      <c r="H115">
        <f t="shared" si="13"/>
        <v>3.3209786751397075E-2</v>
      </c>
      <c r="I115">
        <f t="shared" si="21"/>
        <v>78.19075804454981</v>
      </c>
      <c r="J115">
        <f t="shared" si="19"/>
        <v>0.70740025610286017</v>
      </c>
      <c r="K115">
        <f t="shared" si="16"/>
        <v>0.44921634378225422</v>
      </c>
      <c r="L115">
        <f t="shared" si="20"/>
        <v>55.312162265591311</v>
      </c>
      <c r="M115">
        <f t="shared" si="17"/>
        <v>55.310338085855001</v>
      </c>
      <c r="N115">
        <f t="shared" si="18"/>
        <v>8.1214750134927117E-3</v>
      </c>
    </row>
    <row r="116" spans="1:14" x14ac:dyDescent="0.25">
      <c r="A116">
        <f t="shared" si="14"/>
        <v>112</v>
      </c>
      <c r="B116">
        <f t="shared" si="15"/>
        <v>2.8000000000000021E-2</v>
      </c>
      <c r="C116">
        <f t="shared" si="8"/>
        <v>0.17592918860102855</v>
      </c>
      <c r="D116">
        <f t="shared" si="9"/>
        <v>0.5877852522924677</v>
      </c>
      <c r="E116">
        <f t="shared" si="10"/>
        <v>0.10452846326764735</v>
      </c>
      <c r="F116">
        <f t="shared" si="11"/>
        <v>6.1440289153518041E-2</v>
      </c>
      <c r="G116">
        <f t="shared" si="12"/>
        <v>0.34549150281251989</v>
      </c>
      <c r="H116">
        <f t="shared" si="13"/>
        <v>1.0926199633095901E-2</v>
      </c>
      <c r="I116">
        <f t="shared" si="21"/>
        <v>78.116935358476468</v>
      </c>
      <c r="J116">
        <f t="shared" si="19"/>
        <v>0.70720334946563523</v>
      </c>
      <c r="K116">
        <f t="shared" si="16"/>
        <v>0.45066297365765456</v>
      </c>
      <c r="L116">
        <f t="shared" si="20"/>
        <v>55.244558335505069</v>
      </c>
      <c r="M116">
        <f t="shared" si="17"/>
        <v>55.242720140930757</v>
      </c>
      <c r="N116">
        <f t="shared" si="18"/>
        <v>8.1575993588497639E-3</v>
      </c>
    </row>
    <row r="117" spans="1:14" x14ac:dyDescent="0.25">
      <c r="A117">
        <f t="shared" si="14"/>
        <v>113</v>
      </c>
      <c r="B117">
        <f t="shared" si="15"/>
        <v>2.8250000000000022E-2</v>
      </c>
      <c r="C117">
        <f t="shared" si="8"/>
        <v>0.17749998492782346</v>
      </c>
      <c r="D117">
        <f t="shared" si="9"/>
        <v>0.52249856471594269</v>
      </c>
      <c r="E117">
        <f t="shared" si="10"/>
        <v>2.6176948307866564E-2</v>
      </c>
      <c r="F117">
        <f t="shared" si="11"/>
        <v>1.3677417919503705E-2</v>
      </c>
      <c r="G117">
        <f t="shared" si="12"/>
        <v>0.27300475013022013</v>
      </c>
      <c r="H117">
        <f t="shared" si="13"/>
        <v>6.8523262271271822E-4</v>
      </c>
      <c r="I117">
        <f t="shared" si="21"/>
        <v>78.046729389880213</v>
      </c>
      <c r="J117">
        <f t="shared" si="19"/>
        <v>0.70711283781853618</v>
      </c>
      <c r="K117">
        <f t="shared" si="16"/>
        <v>0.45167499526429644</v>
      </c>
      <c r="L117">
        <f t="shared" si="20"/>
        <v>55.187844301333548</v>
      </c>
      <c r="M117">
        <f t="shared" si="17"/>
        <v>55.185995943961061</v>
      </c>
      <c r="N117">
        <f t="shared" si="18"/>
        <v>8.1843203151419752E-3</v>
      </c>
    </row>
    <row r="118" spans="1:14" x14ac:dyDescent="0.25">
      <c r="A118">
        <f t="shared" si="14"/>
        <v>114</v>
      </c>
      <c r="B118">
        <f t="shared" si="15"/>
        <v>2.8500000000000022E-2</v>
      </c>
      <c r="C118">
        <f t="shared" si="8"/>
        <v>0.17907078125461834</v>
      </c>
      <c r="D118">
        <f t="shared" si="9"/>
        <v>0.45399049973954159</v>
      </c>
      <c r="E118">
        <f t="shared" si="10"/>
        <v>-5.233595624294908E-2</v>
      </c>
      <c r="F118">
        <f t="shared" si="11"/>
        <v>-2.3760026929083234E-2</v>
      </c>
      <c r="G118">
        <f t="shared" si="12"/>
        <v>0.20610737385375871</v>
      </c>
      <c r="H118">
        <f t="shared" si="13"/>
        <v>2.7390523158638807E-3</v>
      </c>
      <c r="I118">
        <f t="shared" si="21"/>
        <v>77.981880846100253</v>
      </c>
      <c r="J118">
        <f t="shared" si="19"/>
        <v>0.70713099080294017</v>
      </c>
      <c r="K118">
        <f t="shared" si="16"/>
        <v>0.45222748927151707</v>
      </c>
      <c r="L118">
        <f t="shared" si="20"/>
        <v>55.143404667379691</v>
      </c>
      <c r="M118">
        <f t="shared" si="17"/>
        <v>55.141550292028782</v>
      </c>
      <c r="N118">
        <f t="shared" si="18"/>
        <v>8.2009352160845837E-3</v>
      </c>
    </row>
    <row r="119" spans="1:14" x14ac:dyDescent="0.25">
      <c r="A119">
        <f t="shared" si="14"/>
        <v>115</v>
      </c>
      <c r="B119">
        <f t="shared" si="15"/>
        <v>2.8750000000000022E-2</v>
      </c>
      <c r="C119">
        <f t="shared" si="8"/>
        <v>0.18064157758141325</v>
      </c>
      <c r="D119">
        <f t="shared" si="9"/>
        <v>0.38268343236508395</v>
      </c>
      <c r="E119">
        <f t="shared" si="10"/>
        <v>-0.13052619222005724</v>
      </c>
      <c r="F119">
        <f t="shared" si="11"/>
        <v>-4.9950211252316218E-2</v>
      </c>
      <c r="G119">
        <f t="shared" si="12"/>
        <v>0.14644660940672177</v>
      </c>
      <c r="H119">
        <f t="shared" si="13"/>
        <v>1.7037086855467329E-2</v>
      </c>
      <c r="I119">
        <f t="shared" si="21"/>
        <v>77.924001756023557</v>
      </c>
      <c r="J119">
        <f t="shared" si="19"/>
        <v>0.70725735315067106</v>
      </c>
      <c r="K119">
        <f t="shared" si="16"/>
        <v>0.45230685144323607</v>
      </c>
      <c r="L119">
        <f t="shared" si="20"/>
        <v>55.112323228873464</v>
      </c>
      <c r="M119">
        <f t="shared" si="17"/>
        <v>55.110467156393831</v>
      </c>
      <c r="N119">
        <f t="shared" si="18"/>
        <v>8.2070002667982526E-3</v>
      </c>
    </row>
    <row r="120" spans="1:14" x14ac:dyDescent="0.25">
      <c r="A120">
        <f t="shared" si="14"/>
        <v>116</v>
      </c>
      <c r="B120">
        <f t="shared" si="15"/>
        <v>2.9000000000000022E-2</v>
      </c>
      <c r="C120">
        <f t="shared" si="8"/>
        <v>0.18221237390820813</v>
      </c>
      <c r="D120">
        <f t="shared" si="9"/>
        <v>0.30901699437494101</v>
      </c>
      <c r="E120">
        <f t="shared" si="10"/>
        <v>-0.20791169081776534</v>
      </c>
      <c r="F120">
        <f t="shared" si="11"/>
        <v>-6.424824579191786E-2</v>
      </c>
      <c r="G120">
        <f t="shared" si="12"/>
        <v>9.5491502812522319E-2</v>
      </c>
      <c r="H120">
        <f t="shared" si="13"/>
        <v>4.3227271178702051E-2</v>
      </c>
      <c r="I120">
        <f t="shared" si="21"/>
        <v>77.87453428304012</v>
      </c>
      <c r="J120">
        <f t="shared" si="19"/>
        <v>0.70748875672319589</v>
      </c>
      <c r="K120">
        <f t="shared" si="16"/>
        <v>0.451911127619398</v>
      </c>
      <c r="L120">
        <f t="shared" si="20"/>
        <v>55.095357440305946</v>
      </c>
      <c r="M120">
        <f t="shared" si="17"/>
        <v>55.093504043651187</v>
      </c>
      <c r="N120">
        <f t="shared" si="18"/>
        <v>8.2023449636211034E-3</v>
      </c>
    </row>
    <row r="121" spans="1:14" x14ac:dyDescent="0.25">
      <c r="A121">
        <f t="shared" si="14"/>
        <v>117</v>
      </c>
      <c r="B121">
        <f t="shared" si="15"/>
        <v>2.9250000000000023E-2</v>
      </c>
      <c r="C121">
        <f t="shared" si="8"/>
        <v>0.18378317023500304</v>
      </c>
      <c r="D121">
        <f t="shared" si="9"/>
        <v>0.23344536385589842</v>
      </c>
      <c r="E121">
        <f t="shared" si="10"/>
        <v>-0.28401534470392892</v>
      </c>
      <c r="F121">
        <f t="shared" si="11"/>
        <v>-6.6302065485067105E-2</v>
      </c>
      <c r="G121">
        <f t="shared" si="12"/>
        <v>5.4496737905812803E-2</v>
      </c>
      <c r="H121">
        <f t="shared" si="13"/>
        <v>8.0664716027291569E-2</v>
      </c>
      <c r="I121">
        <f t="shared" si="21"/>
        <v>77.83471353842225</v>
      </c>
      <c r="J121">
        <f t="shared" si="19"/>
        <v>0.70781940419173373</v>
      </c>
      <c r="K121">
        <f t="shared" si="16"/>
        <v>0.45105006183387764</v>
      </c>
      <c r="L121">
        <f t="shared" si="20"/>
        <v>55.092920562200305</v>
      </c>
      <c r="M121">
        <f t="shared" si="17"/>
        <v>55.091074140142091</v>
      </c>
      <c r="N121">
        <f t="shared" si="18"/>
        <v>8.1870784345992129E-3</v>
      </c>
    </row>
    <row r="122" spans="1:14" x14ac:dyDescent="0.25">
      <c r="A122">
        <f t="shared" si="14"/>
        <v>118</v>
      </c>
      <c r="B122">
        <f t="shared" si="15"/>
        <v>2.9500000000000023E-2</v>
      </c>
      <c r="C122">
        <f t="shared" si="8"/>
        <v>0.18535396656179795</v>
      </c>
      <c r="D122">
        <f t="shared" si="9"/>
        <v>0.15643446504022332</v>
      </c>
      <c r="E122">
        <f t="shared" si="10"/>
        <v>-0.35836794954530682</v>
      </c>
      <c r="F122">
        <f t="shared" si="11"/>
        <v>-5.6061098474681811E-2</v>
      </c>
      <c r="G122">
        <f t="shared" si="12"/>
        <v>2.4471741852420851E-2</v>
      </c>
      <c r="H122">
        <f t="shared" si="13"/>
        <v>0.12842758726130757</v>
      </c>
      <c r="I122">
        <f t="shared" si="21"/>
        <v>77.805535477594233</v>
      </c>
      <c r="J122">
        <f t="shared" si="19"/>
        <v>0.70824102171560632</v>
      </c>
      <c r="K122">
        <f t="shared" si="16"/>
        <v>0.449744856384028</v>
      </c>
      <c r="L122">
        <f t="shared" si="20"/>
        <v>55.105071941781198</v>
      </c>
      <c r="M122">
        <f t="shared" si="17"/>
        <v>55.103236595258522</v>
      </c>
      <c r="N122">
        <f t="shared" si="18"/>
        <v>8.161587319206947E-3</v>
      </c>
    </row>
    <row r="123" spans="1:14" x14ac:dyDescent="0.25">
      <c r="A123">
        <f t="shared" si="14"/>
        <v>119</v>
      </c>
      <c r="B123">
        <f t="shared" si="15"/>
        <v>2.9750000000000023E-2</v>
      </c>
      <c r="C123">
        <f t="shared" si="8"/>
        <v>0.18692476288859283</v>
      </c>
      <c r="D123">
        <f t="shared" si="9"/>
        <v>7.8459095727838671E-2</v>
      </c>
      <c r="E123">
        <f t="shared" si="10"/>
        <v>-0.4305110968083003</v>
      </c>
      <c r="F123">
        <f t="shared" si="11"/>
        <v>-3.3777511356379256E-2</v>
      </c>
      <c r="G123">
        <f t="shared" si="12"/>
        <v>6.1558297024301521E-3</v>
      </c>
      <c r="H123">
        <f t="shared" si="13"/>
        <v>0.18533980447508572</v>
      </c>
      <c r="I123">
        <f t="shared" si="21"/>
        <v>77.787730840039856</v>
      </c>
      <c r="J123">
        <f t="shared" si="19"/>
        <v>0.70874307584338225</v>
      </c>
      <c r="K123">
        <f t="shared" si="16"/>
        <v>0.44802764975975318</v>
      </c>
      <c r="L123">
        <f t="shared" si="20"/>
        <v>55.131515618446976</v>
      </c>
      <c r="M123">
        <f t="shared" si="17"/>
        <v>55.129695134402056</v>
      </c>
      <c r="N123">
        <f t="shared" si="18"/>
        <v>8.1265251777305272E-3</v>
      </c>
    </row>
    <row r="124" spans="1:14" x14ac:dyDescent="0.25">
      <c r="A124">
        <f t="shared" si="14"/>
        <v>120</v>
      </c>
      <c r="B124">
        <f t="shared" si="15"/>
        <v>3.0000000000000023E-2</v>
      </c>
      <c r="C124">
        <f t="shared" si="8"/>
        <v>0.18849555921538774</v>
      </c>
      <c r="D124">
        <f t="shared" si="9"/>
        <v>-6.7378828211284159E-15</v>
      </c>
      <c r="E124">
        <f t="shared" si="10"/>
        <v>-0.50000000000000533</v>
      </c>
      <c r="F124">
        <f t="shared" si="11"/>
        <v>3.3689414105642438E-15</v>
      </c>
      <c r="G124">
        <f t="shared" si="12"/>
        <v>4.539906491125742E-29</v>
      </c>
      <c r="H124">
        <f t="shared" si="13"/>
        <v>0.25000000000000533</v>
      </c>
      <c r="I124">
        <f t="shared" si="21"/>
        <v>77.781745930520188</v>
      </c>
      <c r="J124">
        <f t="shared" si="19"/>
        <v>0.70931304795555528</v>
      </c>
      <c r="K124">
        <f t="shared" si="16"/>
        <v>0.44594072528722456</v>
      </c>
      <c r="L124">
        <f t="shared" si="20"/>
        <v>55.171607281281879</v>
      </c>
      <c r="M124">
        <f t="shared" si="17"/>
        <v>55.169805028380573</v>
      </c>
      <c r="N124">
        <f t="shared" si="18"/>
        <v>8.0827938003270611E-3</v>
      </c>
    </row>
    <row r="125" spans="1:14" x14ac:dyDescent="0.25">
      <c r="A125">
        <f t="shared" si="14"/>
        <v>121</v>
      </c>
      <c r="B125">
        <f t="shared" si="15"/>
        <v>3.0250000000000023E-2</v>
      </c>
      <c r="C125">
        <f t="shared" si="8"/>
        <v>0.19006635554218262</v>
      </c>
      <c r="D125">
        <f t="shared" si="9"/>
        <v>-7.8459095727852105E-2</v>
      </c>
      <c r="E125">
        <f t="shared" si="10"/>
        <v>-0.56640623692483827</v>
      </c>
      <c r="F125">
        <f t="shared" si="11"/>
        <v>4.4439721163738365E-2</v>
      </c>
      <c r="G125">
        <f t="shared" si="12"/>
        <v>6.1558297024322606E-3</v>
      </c>
      <c r="H125">
        <f t="shared" si="13"/>
        <v>0.32081602522735603</v>
      </c>
      <c r="I125">
        <f t="shared" si="21"/>
        <v>77.787730840039856</v>
      </c>
      <c r="J125">
        <f t="shared" si="19"/>
        <v>0.70993675796886435</v>
      </c>
      <c r="K125">
        <f t="shared" si="16"/>
        <v>0.44353546997306115</v>
      </c>
      <c r="L125">
        <f t="shared" si="20"/>
        <v>55.224369442332538</v>
      </c>
      <c r="M125">
        <f t="shared" si="17"/>
        <v>55.222588282242867</v>
      </c>
      <c r="N125">
        <f t="shared" si="18"/>
        <v>8.0315171445500769E-3</v>
      </c>
    </row>
    <row r="126" spans="1:14" x14ac:dyDescent="0.25">
      <c r="A126">
        <f t="shared" si="14"/>
        <v>122</v>
      </c>
      <c r="B126">
        <f t="shared" si="15"/>
        <v>3.0500000000000024E-2</v>
      </c>
      <c r="C126">
        <f t="shared" si="8"/>
        <v>0.19163715186897753</v>
      </c>
      <c r="D126">
        <f t="shared" si="9"/>
        <v>-0.15643446504023839</v>
      </c>
      <c r="E126">
        <f t="shared" si="10"/>
        <v>-0.62932039104984294</v>
      </c>
      <c r="F126">
        <f t="shared" si="11"/>
        <v>9.8447398712795814E-2</v>
      </c>
      <c r="G126">
        <f t="shared" si="12"/>
        <v>2.4471741852425566E-2</v>
      </c>
      <c r="H126">
        <f t="shared" si="13"/>
        <v>0.39604415459112724</v>
      </c>
      <c r="I126">
        <f t="shared" si="21"/>
        <v>77.805535477594233</v>
      </c>
      <c r="J126">
        <f t="shared" si="19"/>
        <v>0.71059872778691979</v>
      </c>
      <c r="K126">
        <f t="shared" si="16"/>
        <v>0.44087110918568234</v>
      </c>
      <c r="L126">
        <f t="shared" si="20"/>
        <v>55.288514525158519</v>
      </c>
      <c r="M126">
        <f t="shared" si="17"/>
        <v>55.286756742132653</v>
      </c>
      <c r="N126">
        <f t="shared" si="18"/>
        <v>7.9740089414966665E-3</v>
      </c>
    </row>
    <row r="127" spans="1:14" x14ac:dyDescent="0.25">
      <c r="A127">
        <f t="shared" si="14"/>
        <v>123</v>
      </c>
      <c r="B127">
        <f t="shared" si="15"/>
        <v>3.0750000000000024E-2</v>
      </c>
      <c r="C127">
        <f t="shared" si="8"/>
        <v>0.19320794819577242</v>
      </c>
      <c r="D127">
        <f t="shared" si="9"/>
        <v>-0.23344536385591153</v>
      </c>
      <c r="E127">
        <f t="shared" si="10"/>
        <v>-0.68835457569375813</v>
      </c>
      <c r="F127">
        <f t="shared" si="11"/>
        <v>0.16069318438471095</v>
      </c>
      <c r="G127">
        <f t="shared" si="12"/>
        <v>5.4496737905818923E-2</v>
      </c>
      <c r="H127">
        <f t="shared" si="13"/>
        <v>0.47383202187853379</v>
      </c>
      <c r="I127">
        <f t="shared" si="21"/>
        <v>77.834713538422236</v>
      </c>
      <c r="J127">
        <f t="shared" si="19"/>
        <v>0.71128257413877483</v>
      </c>
      <c r="K127">
        <f t="shared" si="16"/>
        <v>0.43801324833017996</v>
      </c>
      <c r="L127">
        <f t="shared" si="20"/>
        <v>55.362475402963113</v>
      </c>
      <c r="M127">
        <f t="shared" si="17"/>
        <v>55.360742653418072</v>
      </c>
      <c r="N127">
        <f t="shared" si="18"/>
        <v>7.9117352528412527E-3</v>
      </c>
    </row>
    <row r="128" spans="1:14" x14ac:dyDescent="0.25">
      <c r="A128">
        <f t="shared" si="14"/>
        <v>124</v>
      </c>
      <c r="B128">
        <f t="shared" si="15"/>
        <v>3.1000000000000024E-2</v>
      </c>
      <c r="C128">
        <f t="shared" si="8"/>
        <v>0.19477874452256733</v>
      </c>
      <c r="D128">
        <f t="shared" si="9"/>
        <v>-0.30901699437495384</v>
      </c>
      <c r="E128">
        <f t="shared" si="10"/>
        <v>-0.74314482547739835</v>
      </c>
      <c r="F128">
        <f t="shared" si="11"/>
        <v>0.22964438035432524</v>
      </c>
      <c r="G128">
        <f t="shared" si="12"/>
        <v>9.5491502812530243E-2</v>
      </c>
      <c r="H128">
        <f t="shared" si="13"/>
        <v>0.55226423163383287</v>
      </c>
      <c r="I128">
        <f t="shared" si="21"/>
        <v>77.87453428304012</v>
      </c>
      <c r="J128">
        <f t="shared" si="19"/>
        <v>0.71197141999902147</v>
      </c>
      <c r="K128">
        <f t="shared" si="16"/>
        <v>0.43503225742551288</v>
      </c>
      <c r="L128">
        <f t="shared" si="20"/>
        <v>55.444442755258557</v>
      </c>
      <c r="M128">
        <f t="shared" si="17"/>
        <v>55.44273603797113</v>
      </c>
      <c r="N128">
        <f t="shared" si="18"/>
        <v>7.8462734190660223E-3</v>
      </c>
    </row>
    <row r="129" spans="1:14" x14ac:dyDescent="0.25">
      <c r="A129">
        <f t="shared" si="14"/>
        <v>125</v>
      </c>
      <c r="B129">
        <f t="shared" si="15"/>
        <v>3.1250000000000021E-2</v>
      </c>
      <c r="C129">
        <f t="shared" si="8"/>
        <v>0.19634954084936221</v>
      </c>
      <c r="D129">
        <f t="shared" si="9"/>
        <v>-0.38268343236509639</v>
      </c>
      <c r="E129">
        <f t="shared" si="10"/>
        <v>-0.79335334029123916</v>
      </c>
      <c r="F129">
        <f t="shared" si="11"/>
        <v>0.3036031793409657</v>
      </c>
      <c r="G129">
        <f t="shared" si="12"/>
        <v>0.14644660940673129</v>
      </c>
      <c r="H129">
        <f t="shared" si="13"/>
        <v>0.6294095225512667</v>
      </c>
      <c r="I129">
        <f t="shared" si="21"/>
        <v>77.924001756023571</v>
      </c>
      <c r="J129">
        <f t="shared" si="19"/>
        <v>0.71264831370872617</v>
      </c>
      <c r="K129">
        <f t="shared" si="16"/>
        <v>0.43200153836109556</v>
      </c>
      <c r="L129">
        <f t="shared" si="20"/>
        <v>55.532408448866015</v>
      </c>
      <c r="M129">
        <f t="shared" si="17"/>
        <v>55.530728095375622</v>
      </c>
      <c r="N129">
        <f t="shared" si="18"/>
        <v>7.7792689067120255E-3</v>
      </c>
    </row>
    <row r="130" spans="1:14" x14ac:dyDescent="0.25">
      <c r="A130">
        <f t="shared" si="14"/>
        <v>126</v>
      </c>
      <c r="B130">
        <f t="shared" si="15"/>
        <v>3.1500000000000021E-2</v>
      </c>
      <c r="C130">
        <f t="shared" si="8"/>
        <v>0.19792033717615709</v>
      </c>
      <c r="D130">
        <f t="shared" si="9"/>
        <v>-0.45399049973955197</v>
      </c>
      <c r="E130">
        <f t="shared" si="10"/>
        <v>-0.83867056794542683</v>
      </c>
      <c r="F130">
        <f t="shared" si="11"/>
        <v>0.3807484702583982</v>
      </c>
      <c r="G130">
        <f t="shared" si="12"/>
        <v>0.20610737385376812</v>
      </c>
      <c r="H130">
        <f t="shared" si="13"/>
        <v>0.70336832153790474</v>
      </c>
      <c r="I130">
        <f t="shared" si="21"/>
        <v>77.981880846100253</v>
      </c>
      <c r="J130">
        <f t="shared" si="19"/>
        <v>0.71329664517592106</v>
      </c>
      <c r="K130">
        <f t="shared" si="16"/>
        <v>0.42899571749867371</v>
      </c>
      <c r="L130">
        <f t="shared" si="20"/>
        <v>55.624213992031727</v>
      </c>
      <c r="M130">
        <f t="shared" si="17"/>
        <v>55.622559675959771</v>
      </c>
      <c r="N130">
        <f t="shared" si="18"/>
        <v>7.7123915415708731E-3</v>
      </c>
    </row>
    <row r="131" spans="1:14" x14ac:dyDescent="0.25">
      <c r="A131">
        <f t="shared" si="14"/>
        <v>127</v>
      </c>
      <c r="B131">
        <f t="shared" si="15"/>
        <v>3.1750000000000021E-2</v>
      </c>
      <c r="C131">
        <f t="shared" si="8"/>
        <v>0.199491133502952</v>
      </c>
      <c r="D131">
        <f t="shared" si="9"/>
        <v>-0.52249856471595424</v>
      </c>
      <c r="E131">
        <f t="shared" si="10"/>
        <v>-0.87881711266196805</v>
      </c>
      <c r="F131">
        <f t="shared" si="11"/>
        <v>0.45918068001369738</v>
      </c>
      <c r="G131">
        <f t="shared" si="12"/>
        <v>0.27300475013023223</v>
      </c>
      <c r="H131">
        <f t="shared" si="13"/>
        <v>0.77231951750751826</v>
      </c>
      <c r="I131">
        <f t="shared" si="21"/>
        <v>78.046729389880241</v>
      </c>
      <c r="J131">
        <f t="shared" si="19"/>
        <v>0.71390054907448008</v>
      </c>
      <c r="K131">
        <f t="shared" si="16"/>
        <v>0.42608880812362787</v>
      </c>
      <c r="L131">
        <f t="shared" si="20"/>
        <v>55.717602964902866</v>
      </c>
      <c r="M131">
        <f t="shared" si="17"/>
        <v>55.715973728206031</v>
      </c>
      <c r="N131">
        <f t="shared" si="18"/>
        <v>7.6472925152940609E-3</v>
      </c>
    </row>
    <row r="132" spans="1:14" x14ac:dyDescent="0.25">
      <c r="A132">
        <f t="shared" si="14"/>
        <v>128</v>
      </c>
      <c r="B132">
        <f t="shared" si="15"/>
        <v>3.2000000000000021E-2</v>
      </c>
      <c r="C132">
        <f t="shared" si="8"/>
        <v>0.20106192982974688</v>
      </c>
      <c r="D132">
        <f t="shared" si="9"/>
        <v>-0.58778525229247713</v>
      </c>
      <c r="E132">
        <f t="shared" si="10"/>
        <v>-0.91354545764260264</v>
      </c>
      <c r="F132">
        <f t="shared" si="11"/>
        <v>0.53696854730110366</v>
      </c>
      <c r="G132">
        <f t="shared" si="12"/>
        <v>0.34549150281253099</v>
      </c>
      <c r="H132">
        <f t="shared" si="13"/>
        <v>0.83456530317943234</v>
      </c>
      <c r="I132">
        <f t="shared" si="21"/>
        <v>78.116935358476482</v>
      </c>
      <c r="J132">
        <f t="shared" si="19"/>
        <v>0.7144452857215472</v>
      </c>
      <c r="K132">
        <f t="shared" si="16"/>
        <v>0.42335238799225083</v>
      </c>
      <c r="L132">
        <f t="shared" si="20"/>
        <v>55.810276201878366</v>
      </c>
      <c r="M132">
        <f t="shared" si="17"/>
        <v>55.808670495591741</v>
      </c>
      <c r="N132">
        <f t="shared" si="18"/>
        <v>7.5855633908868264E-3</v>
      </c>
    </row>
    <row r="133" spans="1:14" x14ac:dyDescent="0.25">
      <c r="A133">
        <f t="shared" si="14"/>
        <v>129</v>
      </c>
      <c r="B133">
        <f t="shared" si="15"/>
        <v>3.2250000000000022E-2</v>
      </c>
      <c r="C133">
        <f t="shared" ref="C133:C196" si="22">2*PI()*B133</f>
        <v>0.20263272615654179</v>
      </c>
      <c r="D133">
        <f t="shared" ref="D133:D196" si="23">$C$1*SIN(C133*50)</f>
        <v>-0.6494480483301891</v>
      </c>
      <c r="E133">
        <f t="shared" ref="E133:E196" si="24">$C$2*SIN(C133*50 + PI()*30/180)</f>
        <v>-0.94264149109218054</v>
      </c>
      <c r="F133">
        <f t="shared" ref="F133:F196" si="25">D133*E133</f>
        <v>0.61219667666487598</v>
      </c>
      <c r="G133">
        <f t="shared" ref="G133:G196" si="26">POWER(D133,2)</f>
        <v>0.42178276747989163</v>
      </c>
      <c r="H133">
        <f t="shared" ref="H133:H196" si="27">POWER(E133,2)</f>
        <v>0.88857298072848945</v>
      </c>
      <c r="I133">
        <f t="shared" si="21"/>
        <v>78.190758044549824</v>
      </c>
      <c r="J133">
        <f t="shared" si="19"/>
        <v>0.71491759123629506</v>
      </c>
      <c r="K133">
        <f t="shared" si="16"/>
        <v>0.42085383684983463</v>
      </c>
      <c r="L133">
        <f t="shared" si="20"/>
        <v>55.899948398149519</v>
      </c>
      <c r="M133">
        <f t="shared" ref="M133:M196" si="28">SQRT(POWER(L133,2)-POWER(K133,2))</f>
        <v>55.898364134952892</v>
      </c>
      <c r="N133">
        <f t="shared" si="18"/>
        <v>7.5286981278101925E-3</v>
      </c>
    </row>
    <row r="134" spans="1:14" x14ac:dyDescent="0.25">
      <c r="A134">
        <f t="shared" ref="A134:A197" si="29">A133+1</f>
        <v>130</v>
      </c>
      <c r="B134">
        <f t="shared" ref="B134:B197" si="30">B133+(1/4000)</f>
        <v>3.2500000000000022E-2</v>
      </c>
      <c r="C134">
        <f t="shared" si="22"/>
        <v>0.2042035224833367</v>
      </c>
      <c r="D134">
        <f t="shared" si="23"/>
        <v>-0.7071067811865529</v>
      </c>
      <c r="E134">
        <f t="shared" si="24"/>
        <v>-0.96592582628907009</v>
      </c>
      <c r="F134">
        <f t="shared" si="25"/>
        <v>0.68301270189222574</v>
      </c>
      <c r="G134">
        <f t="shared" si="26"/>
        <v>0.50000000000000755</v>
      </c>
      <c r="H134">
        <f t="shared" si="27"/>
        <v>0.93301270189222285</v>
      </c>
      <c r="I134">
        <f t="shared" si="21"/>
        <v>78.266372089167376</v>
      </c>
      <c r="J134">
        <f t="shared" si="19"/>
        <v>0.71530598961119651</v>
      </c>
      <c r="K134">
        <f t="shared" si="16"/>
        <v>0.4186546773177216</v>
      </c>
      <c r="L134">
        <f t="shared" si="20"/>
        <v>55.984404740519999</v>
      </c>
      <c r="M134">
        <f t="shared" si="28"/>
        <v>55.982839356462783</v>
      </c>
      <c r="N134">
        <f t="shared" ref="N134:N197" si="31">K134/L134</f>
        <v>7.4780589211965072E-3</v>
      </c>
    </row>
    <row r="135" spans="1:14" x14ac:dyDescent="0.25">
      <c r="A135">
        <f t="shared" si="29"/>
        <v>131</v>
      </c>
      <c r="B135">
        <f t="shared" si="30"/>
        <v>3.2750000000000022E-2</v>
      </c>
      <c r="C135">
        <f t="shared" si="22"/>
        <v>0.20577431881013158</v>
      </c>
      <c r="D135">
        <f t="shared" si="23"/>
        <v>-0.76040596560003504</v>
      </c>
      <c r="E135">
        <f t="shared" si="24"/>
        <v>-0.98325490756395562</v>
      </c>
      <c r="F135">
        <f t="shared" si="25"/>
        <v>0.74767289741714282</v>
      </c>
      <c r="G135">
        <f t="shared" si="26"/>
        <v>0.57821723252012169</v>
      </c>
      <c r="H135">
        <f t="shared" si="27"/>
        <v>0.96679021324860293</v>
      </c>
      <c r="I135">
        <f t="shared" si="21"/>
        <v>78.341913152658393</v>
      </c>
      <c r="J135">
        <f t="shared" si="19"/>
        <v>0.71560106041397664</v>
      </c>
      <c r="K135">
        <f t="shared" si="16"/>
        <v>0.4168090600021841</v>
      </c>
      <c r="L135">
        <f t="shared" si="20"/>
        <v>56.061556126902012</v>
      </c>
      <c r="M135">
        <f t="shared" si="28"/>
        <v>56.060006649814845</v>
      </c>
      <c r="N135">
        <f t="shared" si="31"/>
        <v>7.434846422362717E-3</v>
      </c>
    </row>
    <row r="136" spans="1:14" x14ac:dyDescent="0.25">
      <c r="A136">
        <f t="shared" si="29"/>
        <v>132</v>
      </c>
      <c r="B136">
        <f t="shared" si="30"/>
        <v>3.3000000000000022E-2</v>
      </c>
      <c r="C136">
        <f t="shared" si="22"/>
        <v>0.20734511513692649</v>
      </c>
      <c r="D136">
        <f t="shared" si="23"/>
        <v>-0.80901699437495134</v>
      </c>
      <c r="E136">
        <f t="shared" si="24"/>
        <v>-0.99452189536827396</v>
      </c>
      <c r="F136">
        <f t="shared" si="25"/>
        <v>0.80458511463092086</v>
      </c>
      <c r="G136">
        <f t="shared" si="26"/>
        <v>0.65450849718748005</v>
      </c>
      <c r="H136">
        <f t="shared" si="27"/>
        <v>0.98907380036690407</v>
      </c>
      <c r="I136">
        <f t="shared" si="21"/>
        <v>78.415524038289803</v>
      </c>
      <c r="J136">
        <f t="shared" si="19"/>
        <v>0.71579565694727887</v>
      </c>
      <c r="K136">
        <f t="shared" si="16"/>
        <v>0.41536243012678375</v>
      </c>
      <c r="L136">
        <f t="shared" si="20"/>
        <v>56.129491543852787</v>
      </c>
      <c r="M136">
        <f t="shared" si="28"/>
        <v>56.127954666307595</v>
      </c>
      <c r="N136">
        <f t="shared" si="31"/>
        <v>7.4000746969580125E-3</v>
      </c>
    </row>
    <row r="137" spans="1:14" x14ac:dyDescent="0.25">
      <c r="A137">
        <f t="shared" si="29"/>
        <v>133</v>
      </c>
      <c r="B137">
        <f t="shared" si="30"/>
        <v>3.3250000000000023E-2</v>
      </c>
      <c r="C137">
        <f t="shared" si="22"/>
        <v>0.20891591146372138</v>
      </c>
      <c r="D137">
        <f t="shared" si="23"/>
        <v>-0.85264016435409595</v>
      </c>
      <c r="E137">
        <f t="shared" si="24"/>
        <v>-0.99965732497555748</v>
      </c>
      <c r="F137">
        <f t="shared" si="25"/>
        <v>0.85234798586493521</v>
      </c>
      <c r="G137">
        <f t="shared" si="26"/>
        <v>0.72699524986977981</v>
      </c>
      <c r="H137">
        <f t="shared" si="27"/>
        <v>0.99931476737728731</v>
      </c>
      <c r="I137">
        <f t="shared" si="21"/>
        <v>78.48540011710972</v>
      </c>
      <c r="J137">
        <f t="shared" si="19"/>
        <v>0.71588507079852992</v>
      </c>
      <c r="K137">
        <f t="shared" si="16"/>
        <v>0.41435040852014188</v>
      </c>
      <c r="L137">
        <f t="shared" si="20"/>
        <v>56.186526219488037</v>
      </c>
      <c r="M137">
        <f t="shared" si="28"/>
        <v>56.184998374585504</v>
      </c>
      <c r="N137">
        <f t="shared" si="31"/>
        <v>7.3745510961385321E-3</v>
      </c>
    </row>
    <row r="138" spans="1:14" x14ac:dyDescent="0.25">
      <c r="A138">
        <f t="shared" si="29"/>
        <v>134</v>
      </c>
      <c r="B138">
        <f t="shared" si="30"/>
        <v>3.3500000000000023E-2</v>
      </c>
      <c r="C138">
        <f t="shared" si="22"/>
        <v>0.21048670779051629</v>
      </c>
      <c r="D138">
        <f t="shared" si="23"/>
        <v>-0.89100652418837134</v>
      </c>
      <c r="E138">
        <f t="shared" si="24"/>
        <v>-0.9986295347545735</v>
      </c>
      <c r="F138">
        <f t="shared" si="25"/>
        <v>0.8897854307135229</v>
      </c>
      <c r="G138">
        <f t="shared" si="26"/>
        <v>0.79389262614624279</v>
      </c>
      <c r="H138">
        <f t="shared" si="27"/>
        <v>0.99726094768413587</v>
      </c>
      <c r="I138">
        <f t="shared" si="21"/>
        <v>78.549832970571117</v>
      </c>
      <c r="J138">
        <f t="shared" si="19"/>
        <v>0.71586713980043237</v>
      </c>
      <c r="K138">
        <f t="shared" si="16"/>
        <v>0.41379791451292136</v>
      </c>
      <c r="L138">
        <f t="shared" si="20"/>
        <v>56.231244260444448</v>
      </c>
      <c r="M138">
        <f t="shared" si="28"/>
        <v>56.229721699148676</v>
      </c>
      <c r="N138">
        <f t="shared" si="31"/>
        <v>7.3588610736825752E-3</v>
      </c>
    </row>
    <row r="139" spans="1:14" x14ac:dyDescent="0.25">
      <c r="A139">
        <f t="shared" si="29"/>
        <v>135</v>
      </c>
      <c r="B139">
        <f t="shared" si="30"/>
        <v>3.3750000000000023E-2</v>
      </c>
      <c r="C139">
        <f t="shared" si="22"/>
        <v>0.21205750411731117</v>
      </c>
      <c r="D139">
        <f t="shared" si="23"/>
        <v>-0.92387953251128918</v>
      </c>
      <c r="E139">
        <f t="shared" si="24"/>
        <v>-0.99144486137380972</v>
      </c>
      <c r="F139">
        <f t="shared" si="25"/>
        <v>0.91597561503675518</v>
      </c>
      <c r="G139">
        <f t="shared" si="26"/>
        <v>0.85355339059327828</v>
      </c>
      <c r="H139">
        <f t="shared" si="27"/>
        <v>0.98296291314453277</v>
      </c>
      <c r="I139">
        <f t="shared" si="21"/>
        <v>78.607251257929349</v>
      </c>
      <c r="J139">
        <f t="shared" si="19"/>
        <v>0.71574229748863294</v>
      </c>
      <c r="K139">
        <f t="shared" si="16"/>
        <v>0.41371855234120236</v>
      </c>
      <c r="L139">
        <f t="shared" si="20"/>
        <v>56.262534614616584</v>
      </c>
      <c r="M139">
        <f t="shared" si="28"/>
        <v>56.26101348376492</v>
      </c>
      <c r="N139">
        <f t="shared" si="31"/>
        <v>7.3533578814936893E-3</v>
      </c>
    </row>
    <row r="140" spans="1:14" x14ac:dyDescent="0.25">
      <c r="A140">
        <f t="shared" si="29"/>
        <v>136</v>
      </c>
      <c r="B140">
        <f t="shared" si="30"/>
        <v>3.4000000000000023E-2</v>
      </c>
      <c r="C140">
        <f t="shared" si="22"/>
        <v>0.21362830044410608</v>
      </c>
      <c r="D140">
        <f t="shared" si="23"/>
        <v>-0.95105651629515564</v>
      </c>
      <c r="E140">
        <f t="shared" si="24"/>
        <v>-0.97814760073380436</v>
      </c>
      <c r="F140">
        <f t="shared" si="25"/>
        <v>0.93027364957635683</v>
      </c>
      <c r="G140">
        <f t="shared" si="26"/>
        <v>0.90450849718747761</v>
      </c>
      <c r="H140">
        <f t="shared" si="27"/>
        <v>0.95677272882129794</v>
      </c>
      <c r="I140">
        <f t="shared" si="21"/>
        <v>78.656257921411495</v>
      </c>
      <c r="J140">
        <f t="shared" si="19"/>
        <v>0.71551356319098958</v>
      </c>
      <c r="K140">
        <f t="shared" si="16"/>
        <v>0.41411427616504048</v>
      </c>
      <c r="L140">
        <f t="shared" si="20"/>
        <v>56.27961937261864</v>
      </c>
      <c r="M140">
        <f t="shared" si="28"/>
        <v>56.278095793062398</v>
      </c>
      <c r="N140">
        <f t="shared" si="31"/>
        <v>7.3581570163659786E-3</v>
      </c>
    </row>
    <row r="141" spans="1:14" x14ac:dyDescent="0.25">
      <c r="A141">
        <f t="shared" si="29"/>
        <v>137</v>
      </c>
      <c r="B141">
        <f t="shared" si="30"/>
        <v>3.4250000000000023E-2</v>
      </c>
      <c r="C141">
        <f t="shared" si="22"/>
        <v>0.21519909677090099</v>
      </c>
      <c r="D141">
        <f t="shared" si="23"/>
        <v>-0.97236992039767822</v>
      </c>
      <c r="E141">
        <f t="shared" si="24"/>
        <v>-0.95881973486819116</v>
      </c>
      <c r="F141">
        <f t="shared" si="25"/>
        <v>0.93232746926950594</v>
      </c>
      <c r="G141">
        <f t="shared" si="26"/>
        <v>0.94550326209418711</v>
      </c>
      <c r="H141">
        <f t="shared" si="27"/>
        <v>0.91933528397270836</v>
      </c>
      <c r="I141">
        <f t="shared" si="21"/>
        <v>78.695662957953076</v>
      </c>
      <c r="J141">
        <f t="shared" si="19"/>
        <v>0.71518647292133464</v>
      </c>
      <c r="K141">
        <f t="shared" si="16"/>
        <v>0.41497534195056091</v>
      </c>
      <c r="L141">
        <f t="shared" si="20"/>
        <v>56.282073625104587</v>
      </c>
      <c r="M141">
        <f t="shared" si="28"/>
        <v>56.28054376964802</v>
      </c>
      <c r="N141">
        <f t="shared" si="31"/>
        <v>7.3731352670961536E-3</v>
      </c>
    </row>
    <row r="142" spans="1:14" x14ac:dyDescent="0.25">
      <c r="A142">
        <f t="shared" si="29"/>
        <v>138</v>
      </c>
      <c r="B142">
        <f t="shared" si="30"/>
        <v>3.4500000000000024E-2</v>
      </c>
      <c r="C142">
        <f t="shared" si="22"/>
        <v>0.21676989309769587</v>
      </c>
      <c r="D142">
        <f t="shared" si="23"/>
        <v>-0.98768834059513888</v>
      </c>
      <c r="E142">
        <f t="shared" si="24"/>
        <v>-0.9335804264971993</v>
      </c>
      <c r="F142">
        <f t="shared" si="25"/>
        <v>0.92208650225912081</v>
      </c>
      <c r="G142">
        <f t="shared" si="26"/>
        <v>0.97552825814757904</v>
      </c>
      <c r="H142">
        <f t="shared" si="27"/>
        <v>0.87157241273869257</v>
      </c>
      <c r="I142">
        <f t="shared" si="21"/>
        <v>78.72451110705498</v>
      </c>
      <c r="J142">
        <f t="shared" si="19"/>
        <v>0.71476895229104187</v>
      </c>
      <c r="K142">
        <f t="shared" si="16"/>
        <v>0.41628054740041043</v>
      </c>
      <c r="L142">
        <f t="shared" si="20"/>
        <v>56.269836323614179</v>
      </c>
      <c r="M142">
        <f t="shared" si="28"/>
        <v>56.268296494493114</v>
      </c>
      <c r="N142">
        <f t="shared" si="31"/>
        <v>7.3979342148133157E-3</v>
      </c>
    </row>
    <row r="143" spans="1:14" x14ac:dyDescent="0.25">
      <c r="A143">
        <f t="shared" si="29"/>
        <v>139</v>
      </c>
      <c r="B143">
        <f t="shared" si="30"/>
        <v>3.4750000000000024E-2</v>
      </c>
      <c r="C143">
        <f t="shared" si="22"/>
        <v>0.21834068942449078</v>
      </c>
      <c r="D143">
        <f t="shared" si="23"/>
        <v>-0.99691733373312863</v>
      </c>
      <c r="E143">
        <f t="shared" si="24"/>
        <v>-0.90258528434985741</v>
      </c>
      <c r="F143">
        <f t="shared" si="25"/>
        <v>0.89980291514081756</v>
      </c>
      <c r="G143">
        <f t="shared" si="26"/>
        <v>0.99384417029757022</v>
      </c>
      <c r="H143">
        <f t="shared" si="27"/>
        <v>0.81466019552491298</v>
      </c>
      <c r="I143">
        <f t="shared" si="21"/>
        <v>78.742103926409726</v>
      </c>
      <c r="J143">
        <f t="shared" si="19"/>
        <v>0.71427113370488482</v>
      </c>
      <c r="K143">
        <f t="shared" si="16"/>
        <v>0.41799775402468536</v>
      </c>
      <c r="L143">
        <f t="shared" si="20"/>
        <v>56.243211841824539</v>
      </c>
      <c r="M143">
        <f t="shared" si="28"/>
        <v>56.241658547396902</v>
      </c>
      <c r="N143">
        <f t="shared" si="31"/>
        <v>7.4319680604343925E-3</v>
      </c>
    </row>
    <row r="144" spans="1:14" x14ac:dyDescent="0.25">
      <c r="A144">
        <f t="shared" si="29"/>
        <v>140</v>
      </c>
      <c r="B144">
        <f t="shared" si="30"/>
        <v>3.5000000000000024E-2</v>
      </c>
      <c r="C144">
        <f t="shared" si="22"/>
        <v>0.21991148575128566</v>
      </c>
      <c r="D144">
        <f t="shared" si="23"/>
        <v>-1</v>
      </c>
      <c r="E144">
        <f t="shared" si="24"/>
        <v>-0.8660254037844356</v>
      </c>
      <c r="F144">
        <f t="shared" si="25"/>
        <v>0.8660254037844356</v>
      </c>
      <c r="G144">
        <f t="shared" si="26"/>
        <v>1</v>
      </c>
      <c r="H144">
        <f t="shared" si="27"/>
        <v>0.74999999999999467</v>
      </c>
      <c r="I144">
        <f t="shared" si="21"/>
        <v>78.748015848019961</v>
      </c>
      <c r="J144">
        <f t="shared" si="19"/>
        <v>0.71370512118100993</v>
      </c>
      <c r="K144">
        <f t="shared" si="16"/>
        <v>0.42008467849721404</v>
      </c>
      <c r="L144">
        <f t="shared" si="20"/>
        <v>56.202862193575179</v>
      </c>
      <c r="M144">
        <f t="shared" si="28"/>
        <v>56.201292223692633</v>
      </c>
      <c r="N144">
        <f t="shared" si="31"/>
        <v>7.4744356799899053E-3</v>
      </c>
    </row>
    <row r="145" spans="1:14" x14ac:dyDescent="0.25">
      <c r="A145">
        <f t="shared" si="29"/>
        <v>141</v>
      </c>
      <c r="B145">
        <f t="shared" si="30"/>
        <v>3.5250000000000024E-2</v>
      </c>
      <c r="C145">
        <f t="shared" si="22"/>
        <v>0.22148228207808057</v>
      </c>
      <c r="D145">
        <f t="shared" si="23"/>
        <v>-0.99691733373312741</v>
      </c>
      <c r="E145">
        <f t="shared" si="24"/>
        <v>-0.82412618862201192</v>
      </c>
      <c r="F145">
        <f t="shared" si="25"/>
        <v>0.82158568262070053</v>
      </c>
      <c r="G145">
        <f t="shared" si="26"/>
        <v>0.99384417029756777</v>
      </c>
      <c r="H145">
        <f t="shared" si="27"/>
        <v>0.67918397477264403</v>
      </c>
      <c r="I145">
        <f t="shared" si="21"/>
        <v>78.742103926409726</v>
      </c>
      <c r="J145">
        <f t="shared" si="19"/>
        <v>0.71308470722955353</v>
      </c>
      <c r="K145">
        <f t="shared" ref="K145:K208" si="32">AVERAGE(F69:F145)</f>
        <v>0.4224899338113775</v>
      </c>
      <c r="L145">
        <f t="shared" si="20"/>
        <v>56.149790125002959</v>
      </c>
      <c r="M145">
        <f t="shared" si="28"/>
        <v>56.148200624220429</v>
      </c>
      <c r="N145">
        <f t="shared" si="31"/>
        <v>7.524336829591226E-3</v>
      </c>
    </row>
    <row r="146" spans="1:14" x14ac:dyDescent="0.25">
      <c r="A146">
        <f t="shared" si="29"/>
        <v>142</v>
      </c>
      <c r="B146">
        <f t="shared" si="30"/>
        <v>3.5500000000000025E-2</v>
      </c>
      <c r="C146">
        <f t="shared" si="22"/>
        <v>0.22305307840487545</v>
      </c>
      <c r="D146">
        <f t="shared" si="23"/>
        <v>-0.98768834059513655</v>
      </c>
      <c r="E146">
        <f t="shared" si="24"/>
        <v>-0.77714596145696646</v>
      </c>
      <c r="F146">
        <f t="shared" si="25"/>
        <v>0.7675780050716432</v>
      </c>
      <c r="G146">
        <f t="shared" si="26"/>
        <v>0.97552825814757449</v>
      </c>
      <c r="H146">
        <f t="shared" si="27"/>
        <v>0.60395584540887282</v>
      </c>
      <c r="I146">
        <f t="shared" si="21"/>
        <v>78.72451110705498</v>
      </c>
      <c r="J146">
        <f t="shared" si="19"/>
        <v>0.71242504733312895</v>
      </c>
      <c r="K146">
        <f>AVERAGE(F70:F146)</f>
        <v>0.4251542945987562</v>
      </c>
      <c r="L146">
        <f t="shared" si="20"/>
        <v>56.085313551721079</v>
      </c>
      <c r="M146">
        <f t="shared" si="28"/>
        <v>56.083702089115448</v>
      </c>
      <c r="N146">
        <f t="shared" si="31"/>
        <v>7.5804924261800724E-3</v>
      </c>
    </row>
    <row r="147" spans="1:14" x14ac:dyDescent="0.25">
      <c r="A147">
        <f t="shared" si="29"/>
        <v>143</v>
      </c>
      <c r="B147">
        <f t="shared" si="30"/>
        <v>3.5750000000000025E-2</v>
      </c>
      <c r="C147">
        <f t="shared" si="22"/>
        <v>0.22462387473167036</v>
      </c>
      <c r="D147">
        <f t="shared" si="23"/>
        <v>-0.97236992039767478</v>
      </c>
      <c r="E147">
        <f t="shared" si="24"/>
        <v>-0.72537437101228253</v>
      </c>
      <c r="F147">
        <f t="shared" si="25"/>
        <v>0.70533221939972657</v>
      </c>
      <c r="G147">
        <f t="shared" si="26"/>
        <v>0.94550326209418034</v>
      </c>
      <c r="H147">
        <f t="shared" si="27"/>
        <v>0.52616797812146454</v>
      </c>
      <c r="I147">
        <f t="shared" si="21"/>
        <v>78.695662957953061</v>
      </c>
      <c r="J147">
        <f t="shared" si="19"/>
        <v>0.71174229867735028</v>
      </c>
      <c r="K147">
        <f t="shared" si="32"/>
        <v>0.42801215545425858</v>
      </c>
      <c r="L147">
        <f t="shared" si="20"/>
        <v>56.011032049631517</v>
      </c>
      <c r="M147">
        <f t="shared" si="28"/>
        <v>56.009396683589017</v>
      </c>
      <c r="N147">
        <f t="shared" si="31"/>
        <v>7.6415688087124681E-3</v>
      </c>
    </row>
    <row r="148" spans="1:14" x14ac:dyDescent="0.25">
      <c r="A148">
        <f t="shared" si="29"/>
        <v>144</v>
      </c>
      <c r="B148">
        <f t="shared" si="30"/>
        <v>3.6000000000000025E-2</v>
      </c>
      <c r="C148">
        <f t="shared" si="22"/>
        <v>0.22619467105846527</v>
      </c>
      <c r="D148">
        <f t="shared" si="23"/>
        <v>-0.95105651629515098</v>
      </c>
      <c r="E148">
        <f t="shared" si="24"/>
        <v>-0.66913060635885235</v>
      </c>
      <c r="F148">
        <f t="shared" si="25"/>
        <v>0.63638102343011216</v>
      </c>
      <c r="G148">
        <f t="shared" si="26"/>
        <v>0.90450849718746873</v>
      </c>
      <c r="H148">
        <f t="shared" si="27"/>
        <v>0.44773576836616541</v>
      </c>
      <c r="I148">
        <f t="shared" si="21"/>
        <v>78.656257921411481</v>
      </c>
      <c r="J148">
        <f t="shared" si="19"/>
        <v>0.71105323085165506</v>
      </c>
      <c r="K148">
        <f t="shared" si="32"/>
        <v>0.43099314635892572</v>
      </c>
      <c r="L148">
        <f t="shared" si="20"/>
        <v>55.928786321720722</v>
      </c>
      <c r="M148">
        <f t="shared" si="28"/>
        <v>55.927125657667105</v>
      </c>
      <c r="N148">
        <f t="shared" si="31"/>
        <v>7.706105830362772E-3</v>
      </c>
    </row>
    <row r="149" spans="1:14" x14ac:dyDescent="0.25">
      <c r="A149">
        <f t="shared" si="29"/>
        <v>145</v>
      </c>
      <c r="B149">
        <f t="shared" si="30"/>
        <v>3.6250000000000025E-2</v>
      </c>
      <c r="C149">
        <f t="shared" si="22"/>
        <v>0.22776546738526016</v>
      </c>
      <c r="D149">
        <f t="shared" si="23"/>
        <v>-0.92387953251128407</v>
      </c>
      <c r="E149">
        <f t="shared" si="24"/>
        <v>-0.60876142900871544</v>
      </c>
      <c r="F149">
        <f t="shared" si="25"/>
        <v>0.56242222444347323</v>
      </c>
      <c r="G149">
        <f t="shared" si="26"/>
        <v>0.85355339059326885</v>
      </c>
      <c r="H149">
        <f t="shared" si="27"/>
        <v>0.3705904774487333</v>
      </c>
      <c r="I149">
        <f t="shared" ref="I149:I212" si="33">SQRT(SUM(G69:G149)/80)</f>
        <v>78.607251257929335</v>
      </c>
      <c r="J149">
        <f t="shared" ref="J149:J212" si="34">SQRT(SUM(H69:H149)/80)</f>
        <v>0.71037481723953955</v>
      </c>
      <c r="K149">
        <f t="shared" si="32"/>
        <v>0.43402386542334309</v>
      </c>
      <c r="L149">
        <f t="shared" ref="L149:L212" si="35">I149*J149</f>
        <v>55.840611746054115</v>
      </c>
      <c r="M149">
        <f t="shared" si="28"/>
        <v>55.838924984797117</v>
      </c>
      <c r="N149">
        <f t="shared" si="31"/>
        <v>7.7725485422178E-3</v>
      </c>
    </row>
    <row r="150" spans="1:14" x14ac:dyDescent="0.25">
      <c r="A150">
        <f t="shared" si="29"/>
        <v>146</v>
      </c>
      <c r="B150">
        <f t="shared" si="30"/>
        <v>3.6500000000000025E-2</v>
      </c>
      <c r="C150">
        <f t="shared" si="22"/>
        <v>0.22933626371205507</v>
      </c>
      <c r="D150">
        <f t="shared" si="23"/>
        <v>-0.89100652418836446</v>
      </c>
      <c r="E150">
        <f t="shared" si="24"/>
        <v>-0.54463903501502131</v>
      </c>
      <c r="F150">
        <f t="shared" si="25"/>
        <v>0.48527693352603907</v>
      </c>
      <c r="G150">
        <f t="shared" si="26"/>
        <v>0.79389262614623046</v>
      </c>
      <c r="H150">
        <f t="shared" si="27"/>
        <v>0.2966316784620936</v>
      </c>
      <c r="I150">
        <f t="shared" si="33"/>
        <v>78.549832970571089</v>
      </c>
      <c r="J150">
        <f t="shared" si="34"/>
        <v>0.70972381669264573</v>
      </c>
      <c r="K150">
        <f t="shared" si="32"/>
        <v>0.43702968628576477</v>
      </c>
      <c r="L150">
        <f t="shared" si="35"/>
        <v>55.748687256443532</v>
      </c>
      <c r="M150">
        <f t="shared" si="28"/>
        <v>55.746974230625781</v>
      </c>
      <c r="N150">
        <f t="shared" si="31"/>
        <v>7.8392821031898312E-3</v>
      </c>
    </row>
    <row r="151" spans="1:14" x14ac:dyDescent="0.25">
      <c r="A151">
        <f t="shared" si="29"/>
        <v>147</v>
      </c>
      <c r="B151">
        <f t="shared" si="30"/>
        <v>3.6750000000000026E-2</v>
      </c>
      <c r="C151">
        <f t="shared" si="22"/>
        <v>0.23090706003884995</v>
      </c>
      <c r="D151">
        <f t="shared" si="23"/>
        <v>-0.85264016435408807</v>
      </c>
      <c r="E151">
        <f t="shared" si="24"/>
        <v>-0.47715876025960191</v>
      </c>
      <c r="F151">
        <f t="shared" si="25"/>
        <v>0.40684472377073988</v>
      </c>
      <c r="G151">
        <f t="shared" si="26"/>
        <v>0.72699524986976627</v>
      </c>
      <c r="H151">
        <f t="shared" si="27"/>
        <v>0.22768048249248024</v>
      </c>
      <c r="I151">
        <f t="shared" si="33"/>
        <v>78.485400117109691</v>
      </c>
      <c r="J151">
        <f t="shared" si="34"/>
        <v>0.70911635577749577</v>
      </c>
      <c r="K151">
        <f t="shared" si="32"/>
        <v>0.43993659566081061</v>
      </c>
      <c r="L151">
        <f t="shared" si="35"/>
        <v>55.655280912783461</v>
      </c>
      <c r="M151">
        <f t="shared" si="28"/>
        <v>55.653542108949701</v>
      </c>
      <c r="N151">
        <f t="shared" si="31"/>
        <v>7.9046693942705724E-3</v>
      </c>
    </row>
    <row r="152" spans="1:14" x14ac:dyDescent="0.25">
      <c r="A152">
        <f t="shared" si="29"/>
        <v>148</v>
      </c>
      <c r="B152">
        <f t="shared" si="30"/>
        <v>3.7000000000000026E-2</v>
      </c>
      <c r="C152">
        <f t="shared" si="22"/>
        <v>0.23247785636564486</v>
      </c>
      <c r="D152">
        <f t="shared" si="23"/>
        <v>-0.80901699437494246</v>
      </c>
      <c r="E152">
        <f t="shared" si="24"/>
        <v>-0.40673664307579305</v>
      </c>
      <c r="F152">
        <f t="shared" si="25"/>
        <v>0.32905685648333183</v>
      </c>
      <c r="G152">
        <f t="shared" si="26"/>
        <v>0.65450849718746562</v>
      </c>
      <c r="H152">
        <f t="shared" si="27"/>
        <v>0.16543469682056508</v>
      </c>
      <c r="I152">
        <f t="shared" si="33"/>
        <v>78.415524038289789</v>
      </c>
      <c r="J152">
        <f t="shared" si="34"/>
        <v>0.70856752233662035</v>
      </c>
      <c r="K152">
        <f t="shared" si="32"/>
        <v>0.44267301579218765</v>
      </c>
      <c r="L152">
        <f t="shared" si="35"/>
        <v>55.562693580538692</v>
      </c>
      <c r="M152">
        <f t="shared" si="28"/>
        <v>55.560930144535241</v>
      </c>
      <c r="N152">
        <f t="shared" si="31"/>
        <v>7.9670906370031998E-3</v>
      </c>
    </row>
    <row r="153" spans="1:14" x14ac:dyDescent="0.25">
      <c r="A153">
        <f t="shared" si="29"/>
        <v>149</v>
      </c>
      <c r="B153">
        <f t="shared" si="30"/>
        <v>3.7250000000000026E-2</v>
      </c>
      <c r="C153">
        <f t="shared" si="22"/>
        <v>0.23404865269243974</v>
      </c>
      <c r="D153">
        <f t="shared" si="23"/>
        <v>-0.76040596560002638</v>
      </c>
      <c r="E153">
        <f t="shared" si="24"/>
        <v>-0.3338068592337648</v>
      </c>
      <c r="F153">
        <f t="shared" si="25"/>
        <v>0.253828727119563</v>
      </c>
      <c r="G153">
        <f t="shared" si="26"/>
        <v>0.57821723252010848</v>
      </c>
      <c r="H153">
        <f t="shared" si="27"/>
        <v>0.11142701927151047</v>
      </c>
      <c r="I153">
        <f t="shared" si="33"/>
        <v>78.341913152658364</v>
      </c>
      <c r="J153">
        <f t="shared" si="34"/>
        <v>0.70809098125939551</v>
      </c>
      <c r="K153">
        <f t="shared" si="32"/>
        <v>0.4451715669346038</v>
      </c>
      <c r="L153">
        <f t="shared" si="35"/>
        <v>55.473202158004206</v>
      </c>
      <c r="M153">
        <f t="shared" si="28"/>
        <v>55.471415881864736</v>
      </c>
      <c r="N153">
        <f t="shared" si="31"/>
        <v>8.0249841295734568E-3</v>
      </c>
    </row>
    <row r="154" spans="1:14" x14ac:dyDescent="0.25">
      <c r="A154">
        <f t="shared" si="29"/>
        <v>150</v>
      </c>
      <c r="B154">
        <f t="shared" si="30"/>
        <v>3.7500000000000026E-2</v>
      </c>
      <c r="C154">
        <f t="shared" si="22"/>
        <v>0.23561944901923465</v>
      </c>
      <c r="D154">
        <f t="shared" si="23"/>
        <v>-0.70710678118654224</v>
      </c>
      <c r="E154">
        <f t="shared" si="24"/>
        <v>-0.25881904510251408</v>
      </c>
      <c r="F154">
        <f t="shared" si="25"/>
        <v>0.18301270189221322</v>
      </c>
      <c r="G154">
        <f t="shared" si="26"/>
        <v>0.49999999999999251</v>
      </c>
      <c r="H154">
        <f t="shared" si="27"/>
        <v>6.6987298107777218E-2</v>
      </c>
      <c r="I154">
        <f t="shared" si="33"/>
        <v>78.266372089167376</v>
      </c>
      <c r="J154">
        <f t="shared" si="34"/>
        <v>0.70769862316267573</v>
      </c>
      <c r="K154">
        <f t="shared" si="32"/>
        <v>0.44737072646671677</v>
      </c>
      <c r="L154">
        <f t="shared" si="35"/>
        <v>55.389003767441423</v>
      </c>
      <c r="M154">
        <f t="shared" si="28"/>
        <v>55.387197056564801</v>
      </c>
      <c r="N154">
        <f t="shared" si="31"/>
        <v>8.0768870360092802E-3</v>
      </c>
    </row>
    <row r="155" spans="1:14" x14ac:dyDescent="0.25">
      <c r="A155">
        <f t="shared" si="29"/>
        <v>151</v>
      </c>
      <c r="B155">
        <f t="shared" si="30"/>
        <v>3.7750000000000027E-2</v>
      </c>
      <c r="C155">
        <f t="shared" si="22"/>
        <v>0.23719024534602956</v>
      </c>
      <c r="D155">
        <f t="shared" si="23"/>
        <v>-0.64944804833017755</v>
      </c>
      <c r="E155">
        <f t="shared" si="24"/>
        <v>-0.18223552549214023</v>
      </c>
      <c r="F155">
        <f t="shared" si="25"/>
        <v>0.11835250636729479</v>
      </c>
      <c r="G155">
        <f t="shared" si="26"/>
        <v>0.42178276747987664</v>
      </c>
      <c r="H155">
        <f t="shared" si="27"/>
        <v>3.3209786751396492E-2</v>
      </c>
      <c r="I155">
        <f t="shared" si="33"/>
        <v>78.19075804454981</v>
      </c>
      <c r="J155">
        <f t="shared" si="34"/>
        <v>0.70740025610286017</v>
      </c>
      <c r="K155">
        <f t="shared" si="32"/>
        <v>0.44921634378225422</v>
      </c>
      <c r="L155">
        <f t="shared" si="35"/>
        <v>55.312162265591311</v>
      </c>
      <c r="M155">
        <f t="shared" si="28"/>
        <v>55.310338085855001</v>
      </c>
      <c r="N155">
        <f t="shared" si="31"/>
        <v>8.1214750134927117E-3</v>
      </c>
    </row>
    <row r="156" spans="1:14" x14ac:dyDescent="0.25">
      <c r="A156">
        <f t="shared" si="29"/>
        <v>152</v>
      </c>
      <c r="B156">
        <f t="shared" si="30"/>
        <v>3.8000000000000027E-2</v>
      </c>
      <c r="C156">
        <f t="shared" si="22"/>
        <v>0.23876104167282444</v>
      </c>
      <c r="D156">
        <f t="shared" si="23"/>
        <v>-0.58778525229246636</v>
      </c>
      <c r="E156">
        <f t="shared" si="24"/>
        <v>-0.10452846326764571</v>
      </c>
      <c r="F156">
        <f t="shared" si="25"/>
        <v>6.1440289153516937E-2</v>
      </c>
      <c r="G156">
        <f t="shared" si="26"/>
        <v>0.34549150281251834</v>
      </c>
      <c r="H156">
        <f t="shared" si="27"/>
        <v>1.092619963309556E-2</v>
      </c>
      <c r="I156">
        <f t="shared" si="33"/>
        <v>78.116935358476468</v>
      </c>
      <c r="J156">
        <f t="shared" si="34"/>
        <v>0.70720334946563523</v>
      </c>
      <c r="K156">
        <f t="shared" si="32"/>
        <v>0.45066297365765468</v>
      </c>
      <c r="L156">
        <f t="shared" si="35"/>
        <v>55.244558335505069</v>
      </c>
      <c r="M156">
        <f t="shared" si="28"/>
        <v>55.242720140930757</v>
      </c>
      <c r="N156">
        <f t="shared" si="31"/>
        <v>8.1575993588497674E-3</v>
      </c>
    </row>
    <row r="157" spans="1:14" x14ac:dyDescent="0.25">
      <c r="A157">
        <f t="shared" si="29"/>
        <v>153</v>
      </c>
      <c r="B157">
        <f t="shared" si="30"/>
        <v>3.8250000000000027E-2</v>
      </c>
      <c r="C157">
        <f t="shared" si="22"/>
        <v>0.24033183799961935</v>
      </c>
      <c r="D157">
        <f t="shared" si="23"/>
        <v>-0.52249856471594136</v>
      </c>
      <c r="E157">
        <f t="shared" si="24"/>
        <v>-2.6176948307864909E-2</v>
      </c>
      <c r="F157">
        <f t="shared" si="25"/>
        <v>1.3677417919502804E-2</v>
      </c>
      <c r="G157">
        <f t="shared" si="26"/>
        <v>0.27300475013021874</v>
      </c>
      <c r="H157">
        <f t="shared" si="27"/>
        <v>6.8523262271263149E-4</v>
      </c>
      <c r="I157">
        <f t="shared" si="33"/>
        <v>78.046729389880213</v>
      </c>
      <c r="J157">
        <f t="shared" si="34"/>
        <v>0.7071128378185364</v>
      </c>
      <c r="K157">
        <f t="shared" si="32"/>
        <v>0.45167499526429644</v>
      </c>
      <c r="L157">
        <f t="shared" si="35"/>
        <v>55.187844301333563</v>
      </c>
      <c r="M157">
        <f t="shared" si="28"/>
        <v>55.185995943961075</v>
      </c>
      <c r="N157">
        <f t="shared" si="31"/>
        <v>8.1843203151419734E-3</v>
      </c>
    </row>
    <row r="158" spans="1:14" x14ac:dyDescent="0.25">
      <c r="A158">
        <f t="shared" si="29"/>
        <v>154</v>
      </c>
      <c r="B158">
        <f t="shared" si="30"/>
        <v>3.8500000000000027E-2</v>
      </c>
      <c r="C158">
        <f t="shared" si="22"/>
        <v>0.24190263432641423</v>
      </c>
      <c r="D158">
        <f t="shared" si="23"/>
        <v>-0.45399049973954009</v>
      </c>
      <c r="E158">
        <f t="shared" si="24"/>
        <v>5.2335956242950732E-2</v>
      </c>
      <c r="F158">
        <f t="shared" si="25"/>
        <v>-2.3760026929083907E-2</v>
      </c>
      <c r="G158">
        <f t="shared" si="26"/>
        <v>0.20610737385375735</v>
      </c>
      <c r="H158">
        <f t="shared" si="27"/>
        <v>2.7390523158640537E-3</v>
      </c>
      <c r="I158">
        <f t="shared" si="33"/>
        <v>77.981880846100253</v>
      </c>
      <c r="J158">
        <f t="shared" si="34"/>
        <v>0.7071309908029404</v>
      </c>
      <c r="K158">
        <f t="shared" si="32"/>
        <v>0.45222748927151707</v>
      </c>
      <c r="L158">
        <f t="shared" si="35"/>
        <v>55.143404667379713</v>
      </c>
      <c r="M158">
        <f t="shared" si="28"/>
        <v>55.141550292028803</v>
      </c>
      <c r="N158">
        <f t="shared" si="31"/>
        <v>8.2009352160845803E-3</v>
      </c>
    </row>
    <row r="159" spans="1:14" x14ac:dyDescent="0.25">
      <c r="A159">
        <f t="shared" si="29"/>
        <v>155</v>
      </c>
      <c r="B159">
        <f t="shared" si="30"/>
        <v>3.8750000000000027E-2</v>
      </c>
      <c r="C159">
        <f t="shared" si="22"/>
        <v>0.24347343065320914</v>
      </c>
      <c r="D159">
        <f t="shared" si="23"/>
        <v>-0.3826834323650824</v>
      </c>
      <c r="E159">
        <f t="shared" si="24"/>
        <v>0.13052619222005887</v>
      </c>
      <c r="F159">
        <f t="shared" si="25"/>
        <v>-4.9950211252316641E-2</v>
      </c>
      <c r="G159">
        <f t="shared" si="26"/>
        <v>0.14644660940672061</v>
      </c>
      <c r="H159">
        <f t="shared" si="27"/>
        <v>1.7037086855467759E-2</v>
      </c>
      <c r="I159">
        <f t="shared" si="33"/>
        <v>77.924001756023557</v>
      </c>
      <c r="J159">
        <f t="shared" si="34"/>
        <v>0.70725735315067106</v>
      </c>
      <c r="K159">
        <f t="shared" si="32"/>
        <v>0.45230685144323607</v>
      </c>
      <c r="L159">
        <f t="shared" si="35"/>
        <v>55.112323228873464</v>
      </c>
      <c r="M159">
        <f t="shared" si="28"/>
        <v>55.110467156393831</v>
      </c>
      <c r="N159">
        <f t="shared" si="31"/>
        <v>8.2070002667982526E-3</v>
      </c>
    </row>
    <row r="160" spans="1:14" x14ac:dyDescent="0.25">
      <c r="A160">
        <f t="shared" si="29"/>
        <v>156</v>
      </c>
      <c r="B160">
        <f t="shared" si="30"/>
        <v>3.9000000000000028E-2</v>
      </c>
      <c r="C160">
        <f t="shared" si="22"/>
        <v>0.24504422698000403</v>
      </c>
      <c r="D160">
        <f t="shared" si="23"/>
        <v>-0.30901699437493946</v>
      </c>
      <c r="E160">
        <f t="shared" si="24"/>
        <v>0.20791169081776695</v>
      </c>
      <c r="F160">
        <f t="shared" si="25"/>
        <v>-6.4248245791918041E-2</v>
      </c>
      <c r="G160">
        <f t="shared" si="26"/>
        <v>9.5491502812521362E-2</v>
      </c>
      <c r="H160">
        <f t="shared" si="27"/>
        <v>4.3227271178702717E-2</v>
      </c>
      <c r="I160">
        <f t="shared" si="33"/>
        <v>77.874534283040106</v>
      </c>
      <c r="J160">
        <f t="shared" si="34"/>
        <v>0.707488756723196</v>
      </c>
      <c r="K160">
        <f t="shared" si="32"/>
        <v>0.451911127619398</v>
      </c>
      <c r="L160">
        <f t="shared" si="35"/>
        <v>55.095357440305946</v>
      </c>
      <c r="M160">
        <f t="shared" si="28"/>
        <v>55.093504043651187</v>
      </c>
      <c r="N160">
        <f t="shared" si="31"/>
        <v>8.2023449636211034E-3</v>
      </c>
    </row>
    <row r="161" spans="1:14" x14ac:dyDescent="0.25">
      <c r="A161">
        <f t="shared" si="29"/>
        <v>157</v>
      </c>
      <c r="B161">
        <f t="shared" si="30"/>
        <v>3.9250000000000028E-2</v>
      </c>
      <c r="C161">
        <f t="shared" si="22"/>
        <v>0.24661502330679894</v>
      </c>
      <c r="D161">
        <f t="shared" si="23"/>
        <v>-0.23344536385589681</v>
      </c>
      <c r="E161">
        <f t="shared" si="24"/>
        <v>0.28401534470393053</v>
      </c>
      <c r="F161">
        <f t="shared" si="25"/>
        <v>-6.6302065485067022E-2</v>
      </c>
      <c r="G161">
        <f t="shared" si="26"/>
        <v>5.4496737905812054E-2</v>
      </c>
      <c r="H161">
        <f t="shared" si="27"/>
        <v>8.0664716027292485E-2</v>
      </c>
      <c r="I161">
        <f t="shared" si="33"/>
        <v>77.834713538422236</v>
      </c>
      <c r="J161">
        <f t="shared" si="34"/>
        <v>0.70781940419173373</v>
      </c>
      <c r="K161">
        <f t="shared" si="32"/>
        <v>0.45105006183387752</v>
      </c>
      <c r="L161">
        <f t="shared" si="35"/>
        <v>55.092920562200298</v>
      </c>
      <c r="M161">
        <f t="shared" si="28"/>
        <v>55.091074140142084</v>
      </c>
      <c r="N161">
        <f t="shared" si="31"/>
        <v>8.1870784345992112E-3</v>
      </c>
    </row>
    <row r="162" spans="1:14" x14ac:dyDescent="0.25">
      <c r="A162">
        <f t="shared" si="29"/>
        <v>158</v>
      </c>
      <c r="B162">
        <f t="shared" si="30"/>
        <v>3.9500000000000028E-2</v>
      </c>
      <c r="C162">
        <f t="shared" si="22"/>
        <v>0.24818581963359385</v>
      </c>
      <c r="D162">
        <f t="shared" si="23"/>
        <v>-0.15643446504022171</v>
      </c>
      <c r="E162">
        <f t="shared" si="24"/>
        <v>0.35836794954530837</v>
      </c>
      <c r="F162">
        <f t="shared" si="25"/>
        <v>-5.6061098474681478E-2</v>
      </c>
      <c r="G162">
        <f t="shared" si="26"/>
        <v>2.4471741852420348E-2</v>
      </c>
      <c r="H162">
        <f t="shared" si="27"/>
        <v>0.12842758726130868</v>
      </c>
      <c r="I162">
        <f t="shared" si="33"/>
        <v>77.805535477594219</v>
      </c>
      <c r="J162">
        <f t="shared" si="34"/>
        <v>0.70824102171560643</v>
      </c>
      <c r="K162">
        <f t="shared" si="32"/>
        <v>0.449744856384028</v>
      </c>
      <c r="L162">
        <f t="shared" si="35"/>
        <v>55.105071941781198</v>
      </c>
      <c r="M162">
        <f t="shared" si="28"/>
        <v>55.103236595258522</v>
      </c>
      <c r="N162">
        <f t="shared" si="31"/>
        <v>8.161587319206947E-3</v>
      </c>
    </row>
    <row r="163" spans="1:14" x14ac:dyDescent="0.25">
      <c r="A163">
        <f t="shared" si="29"/>
        <v>159</v>
      </c>
      <c r="B163">
        <f t="shared" si="30"/>
        <v>3.9750000000000028E-2</v>
      </c>
      <c r="C163">
        <f t="shared" si="22"/>
        <v>0.24975661596038873</v>
      </c>
      <c r="D163">
        <f t="shared" si="23"/>
        <v>-7.8459095727837019E-2</v>
      </c>
      <c r="E163">
        <f t="shared" si="24"/>
        <v>0.43051109680830174</v>
      </c>
      <c r="F163">
        <f t="shared" si="25"/>
        <v>-3.3777511356378659E-2</v>
      </c>
      <c r="G163">
        <f t="shared" si="26"/>
        <v>6.1558297024298936E-3</v>
      </c>
      <c r="H163">
        <f t="shared" si="27"/>
        <v>0.18533980447508697</v>
      </c>
      <c r="I163">
        <f t="shared" si="33"/>
        <v>77.787730840039842</v>
      </c>
      <c r="J163">
        <f t="shared" si="34"/>
        <v>0.70874307584338225</v>
      </c>
      <c r="K163">
        <f t="shared" si="32"/>
        <v>0.44802764975975307</v>
      </c>
      <c r="L163">
        <f t="shared" si="35"/>
        <v>55.131515618446961</v>
      </c>
      <c r="M163">
        <f t="shared" si="28"/>
        <v>55.129695134402041</v>
      </c>
      <c r="N163">
        <f t="shared" si="31"/>
        <v>8.1265251777305272E-3</v>
      </c>
    </row>
    <row r="164" spans="1:14" x14ac:dyDescent="0.25">
      <c r="A164">
        <f t="shared" si="29"/>
        <v>160</v>
      </c>
      <c r="B164">
        <f t="shared" si="30"/>
        <v>4.0000000000000029E-2</v>
      </c>
      <c r="C164">
        <f t="shared" si="22"/>
        <v>0.25132741228718364</v>
      </c>
      <c r="D164">
        <f t="shared" si="23"/>
        <v>8.3917248150378043E-15</v>
      </c>
      <c r="E164">
        <f t="shared" si="24"/>
        <v>0.50000000000000677</v>
      </c>
      <c r="F164">
        <f t="shared" si="25"/>
        <v>4.195862407518959E-15</v>
      </c>
      <c r="G164">
        <f t="shared" si="26"/>
        <v>7.0421045371321271E-29</v>
      </c>
      <c r="H164">
        <f t="shared" si="27"/>
        <v>0.25000000000000677</v>
      </c>
      <c r="I164">
        <f t="shared" si="33"/>
        <v>77.781745930520188</v>
      </c>
      <c r="J164">
        <f t="shared" si="34"/>
        <v>0.70931304795555528</v>
      </c>
      <c r="K164">
        <f t="shared" si="32"/>
        <v>0.44594072528722445</v>
      </c>
      <c r="L164">
        <f t="shared" si="35"/>
        <v>55.171607281281879</v>
      </c>
      <c r="M164">
        <f t="shared" si="28"/>
        <v>55.169805028380573</v>
      </c>
      <c r="N164">
        <f t="shared" si="31"/>
        <v>8.0827938003270594E-3</v>
      </c>
    </row>
    <row r="165" spans="1:14" x14ac:dyDescent="0.25">
      <c r="A165">
        <f t="shared" si="29"/>
        <v>161</v>
      </c>
      <c r="B165">
        <f t="shared" si="30"/>
        <v>4.0250000000000029E-2</v>
      </c>
      <c r="C165">
        <f t="shared" si="22"/>
        <v>0.25289820861397855</v>
      </c>
      <c r="D165">
        <f t="shared" si="23"/>
        <v>7.8459095727853756E-2</v>
      </c>
      <c r="E165">
        <f t="shared" si="24"/>
        <v>0.5664062369248396</v>
      </c>
      <c r="F165">
        <f t="shared" si="25"/>
        <v>4.4439721163739405E-2</v>
      </c>
      <c r="G165">
        <f t="shared" si="26"/>
        <v>6.1558297024325191E-3</v>
      </c>
      <c r="H165">
        <f t="shared" si="27"/>
        <v>0.32081602522735753</v>
      </c>
      <c r="I165">
        <f t="shared" si="33"/>
        <v>77.787730840039842</v>
      </c>
      <c r="J165">
        <f t="shared" si="34"/>
        <v>0.70993675796886435</v>
      </c>
      <c r="K165">
        <f t="shared" si="32"/>
        <v>0.44353546997306104</v>
      </c>
      <c r="L165">
        <f t="shared" si="35"/>
        <v>55.224369442332531</v>
      </c>
      <c r="M165">
        <f t="shared" si="28"/>
        <v>55.22258828224286</v>
      </c>
      <c r="N165">
        <f t="shared" si="31"/>
        <v>8.0315171445500752E-3</v>
      </c>
    </row>
    <row r="166" spans="1:14" x14ac:dyDescent="0.25">
      <c r="A166">
        <f t="shared" si="29"/>
        <v>162</v>
      </c>
      <c r="B166">
        <f t="shared" si="30"/>
        <v>4.0500000000000029E-2</v>
      </c>
      <c r="C166">
        <f t="shared" si="22"/>
        <v>0.2544690049407734</v>
      </c>
      <c r="D166">
        <f t="shared" si="23"/>
        <v>0.15643446504023828</v>
      </c>
      <c r="E166">
        <f t="shared" si="24"/>
        <v>0.62932039104984283</v>
      </c>
      <c r="F166">
        <f t="shared" si="25"/>
        <v>9.8447398712795717E-2</v>
      </c>
      <c r="G166">
        <f t="shared" si="26"/>
        <v>2.4471741852425531E-2</v>
      </c>
      <c r="H166">
        <f t="shared" si="27"/>
        <v>0.39604415459112707</v>
      </c>
      <c r="I166">
        <f t="shared" si="33"/>
        <v>77.805535477594219</v>
      </c>
      <c r="J166">
        <f t="shared" si="34"/>
        <v>0.71059872778691979</v>
      </c>
      <c r="K166">
        <f t="shared" si="32"/>
        <v>0.44087110918568218</v>
      </c>
      <c r="L166">
        <f t="shared" si="35"/>
        <v>55.288514525158504</v>
      </c>
      <c r="M166">
        <f t="shared" si="28"/>
        <v>55.286756742132631</v>
      </c>
      <c r="N166">
        <f t="shared" si="31"/>
        <v>7.9740089414966648E-3</v>
      </c>
    </row>
    <row r="167" spans="1:14" x14ac:dyDescent="0.25">
      <c r="A167">
        <f t="shared" si="29"/>
        <v>163</v>
      </c>
      <c r="B167">
        <f t="shared" si="30"/>
        <v>4.0750000000000029E-2</v>
      </c>
      <c r="C167">
        <f t="shared" si="22"/>
        <v>0.25603980126756831</v>
      </c>
      <c r="D167">
        <f t="shared" si="23"/>
        <v>0.23344536385591313</v>
      </c>
      <c r="E167">
        <f t="shared" si="24"/>
        <v>0.68835457569375935</v>
      </c>
      <c r="F167">
        <f t="shared" si="25"/>
        <v>0.16069318438471236</v>
      </c>
      <c r="G167">
        <f t="shared" si="26"/>
        <v>5.4496737905819673E-2</v>
      </c>
      <c r="H167">
        <f t="shared" si="27"/>
        <v>0.47383202187853546</v>
      </c>
      <c r="I167">
        <f t="shared" si="33"/>
        <v>77.834713538422221</v>
      </c>
      <c r="J167">
        <f t="shared" si="34"/>
        <v>0.71128257413877483</v>
      </c>
      <c r="K167">
        <f t="shared" si="32"/>
        <v>0.43801324833017985</v>
      </c>
      <c r="L167">
        <f t="shared" si="35"/>
        <v>55.362475402963106</v>
      </c>
      <c r="M167">
        <f t="shared" si="28"/>
        <v>55.360742653418065</v>
      </c>
      <c r="N167">
        <f t="shared" si="31"/>
        <v>7.911735252841251E-3</v>
      </c>
    </row>
    <row r="168" spans="1:14" x14ac:dyDescent="0.25">
      <c r="A168">
        <f t="shared" si="29"/>
        <v>164</v>
      </c>
      <c r="B168">
        <f t="shared" si="30"/>
        <v>4.1000000000000029E-2</v>
      </c>
      <c r="C168">
        <f t="shared" si="22"/>
        <v>0.25761059759436322</v>
      </c>
      <c r="D168">
        <f t="shared" si="23"/>
        <v>0.30901699437495539</v>
      </c>
      <c r="E168">
        <f t="shared" si="24"/>
        <v>0.74314482547739946</v>
      </c>
      <c r="F168">
        <f t="shared" si="25"/>
        <v>0.22964438035432674</v>
      </c>
      <c r="G168">
        <f t="shared" si="26"/>
        <v>9.5491502812531215E-2</v>
      </c>
      <c r="H168">
        <f t="shared" si="27"/>
        <v>0.55226423163383453</v>
      </c>
      <c r="I168">
        <f t="shared" si="33"/>
        <v>77.874534283040106</v>
      </c>
      <c r="J168">
        <f t="shared" si="34"/>
        <v>0.71197141999902147</v>
      </c>
      <c r="K168">
        <f t="shared" si="32"/>
        <v>0.43503225742551288</v>
      </c>
      <c r="L168">
        <f t="shared" si="35"/>
        <v>55.444442755258542</v>
      </c>
      <c r="M168">
        <f t="shared" si="28"/>
        <v>55.442736037971116</v>
      </c>
      <c r="N168">
        <f t="shared" si="31"/>
        <v>7.846273419066024E-3</v>
      </c>
    </row>
    <row r="169" spans="1:14" x14ac:dyDescent="0.25">
      <c r="A169">
        <f t="shared" si="29"/>
        <v>165</v>
      </c>
      <c r="B169">
        <f t="shared" si="30"/>
        <v>4.125000000000003E-2</v>
      </c>
      <c r="C169">
        <f t="shared" si="22"/>
        <v>0.25918139392115813</v>
      </c>
      <c r="D169">
        <f t="shared" si="23"/>
        <v>0.38268343236509794</v>
      </c>
      <c r="E169">
        <f t="shared" si="24"/>
        <v>0.79335334029124016</v>
      </c>
      <c r="F169">
        <f t="shared" si="25"/>
        <v>0.30360317934096731</v>
      </c>
      <c r="G169">
        <f t="shared" si="26"/>
        <v>0.14644660940673249</v>
      </c>
      <c r="H169">
        <f t="shared" si="27"/>
        <v>0.62940952255126836</v>
      </c>
      <c r="I169">
        <f t="shared" si="33"/>
        <v>77.924001756023557</v>
      </c>
      <c r="J169">
        <f t="shared" si="34"/>
        <v>0.71264831370872617</v>
      </c>
      <c r="K169">
        <f t="shared" si="32"/>
        <v>0.43200153836109545</v>
      </c>
      <c r="L169">
        <f t="shared" si="35"/>
        <v>55.532408448866008</v>
      </c>
      <c r="M169">
        <f t="shared" si="28"/>
        <v>55.530728095375615</v>
      </c>
      <c r="N169">
        <f t="shared" si="31"/>
        <v>7.7792689067120247E-3</v>
      </c>
    </row>
    <row r="170" spans="1:14" x14ac:dyDescent="0.25">
      <c r="A170">
        <f t="shared" si="29"/>
        <v>166</v>
      </c>
      <c r="B170">
        <f t="shared" si="30"/>
        <v>4.150000000000003E-2</v>
      </c>
      <c r="C170">
        <f t="shared" si="22"/>
        <v>0.26075219024795304</v>
      </c>
      <c r="D170">
        <f t="shared" si="23"/>
        <v>0.45399049973955502</v>
      </c>
      <c r="E170">
        <f t="shared" si="24"/>
        <v>0.83867056794542871</v>
      </c>
      <c r="F170">
        <f t="shared" si="25"/>
        <v>0.38074847025840164</v>
      </c>
      <c r="G170">
        <f t="shared" si="26"/>
        <v>0.2061073738537709</v>
      </c>
      <c r="H170">
        <f t="shared" si="27"/>
        <v>0.70336832153790796</v>
      </c>
      <c r="I170">
        <f t="shared" si="33"/>
        <v>77.981880846100253</v>
      </c>
      <c r="J170">
        <f t="shared" si="34"/>
        <v>0.71329664517592106</v>
      </c>
      <c r="K170">
        <f t="shared" si="32"/>
        <v>0.42899571749867371</v>
      </c>
      <c r="L170">
        <f t="shared" si="35"/>
        <v>55.624213992031727</v>
      </c>
      <c r="M170">
        <f t="shared" si="28"/>
        <v>55.622559675959771</v>
      </c>
      <c r="N170">
        <f t="shared" si="31"/>
        <v>7.7123915415708731E-3</v>
      </c>
    </row>
    <row r="171" spans="1:14" x14ac:dyDescent="0.25">
      <c r="A171">
        <f t="shared" si="29"/>
        <v>167</v>
      </c>
      <c r="B171">
        <f t="shared" si="30"/>
        <v>4.175000000000003E-2</v>
      </c>
      <c r="C171">
        <f t="shared" si="22"/>
        <v>0.2623229865747479</v>
      </c>
      <c r="D171">
        <f t="shared" si="23"/>
        <v>0.52249856471595557</v>
      </c>
      <c r="E171">
        <f t="shared" si="24"/>
        <v>0.87881711266196882</v>
      </c>
      <c r="F171">
        <f t="shared" si="25"/>
        <v>0.45918068001369894</v>
      </c>
      <c r="G171">
        <f t="shared" si="26"/>
        <v>0.27300475013023362</v>
      </c>
      <c r="H171">
        <f t="shared" si="27"/>
        <v>0.77231951750751959</v>
      </c>
      <c r="I171">
        <f t="shared" si="33"/>
        <v>78.046729389880227</v>
      </c>
      <c r="J171">
        <f t="shared" si="34"/>
        <v>0.71390054907447997</v>
      </c>
      <c r="K171">
        <f t="shared" si="32"/>
        <v>0.42608880812362776</v>
      </c>
      <c r="L171">
        <f t="shared" si="35"/>
        <v>55.717602964902845</v>
      </c>
      <c r="M171">
        <f t="shared" si="28"/>
        <v>55.715973728206009</v>
      </c>
      <c r="N171">
        <f t="shared" si="31"/>
        <v>7.6472925152940617E-3</v>
      </c>
    </row>
    <row r="172" spans="1:14" x14ac:dyDescent="0.25">
      <c r="A172">
        <f t="shared" si="29"/>
        <v>168</v>
      </c>
      <c r="B172">
        <f t="shared" si="30"/>
        <v>4.200000000000003E-2</v>
      </c>
      <c r="C172">
        <f t="shared" si="22"/>
        <v>0.26389378290154281</v>
      </c>
      <c r="D172">
        <f t="shared" si="23"/>
        <v>0.58778525229247991</v>
      </c>
      <c r="E172">
        <f t="shared" si="24"/>
        <v>0.91354545764260409</v>
      </c>
      <c r="F172">
        <f t="shared" si="25"/>
        <v>0.5369685473011071</v>
      </c>
      <c r="G172">
        <f t="shared" si="26"/>
        <v>0.34549150281253427</v>
      </c>
      <c r="H172">
        <f t="shared" si="27"/>
        <v>0.83456530317943489</v>
      </c>
      <c r="I172">
        <f t="shared" si="33"/>
        <v>78.116935358476468</v>
      </c>
      <c r="J172">
        <f t="shared" si="34"/>
        <v>0.71444528572154709</v>
      </c>
      <c r="K172">
        <f t="shared" si="32"/>
        <v>0.42335238799225072</v>
      </c>
      <c r="L172">
        <f t="shared" si="35"/>
        <v>55.810276201878345</v>
      </c>
      <c r="M172">
        <f t="shared" si="28"/>
        <v>55.80867049559172</v>
      </c>
      <c r="N172">
        <f t="shared" si="31"/>
        <v>7.5855633908868273E-3</v>
      </c>
    </row>
    <row r="173" spans="1:14" x14ac:dyDescent="0.25">
      <c r="A173">
        <f t="shared" si="29"/>
        <v>169</v>
      </c>
      <c r="B173">
        <f t="shared" si="30"/>
        <v>4.2250000000000031E-2</v>
      </c>
      <c r="C173">
        <f t="shared" si="22"/>
        <v>0.26546457922833772</v>
      </c>
      <c r="D173">
        <f t="shared" si="23"/>
        <v>0.64944804833019032</v>
      </c>
      <c r="E173">
        <f t="shared" si="24"/>
        <v>0.94264149109218109</v>
      </c>
      <c r="F173">
        <f t="shared" si="25"/>
        <v>0.61219667666487754</v>
      </c>
      <c r="G173">
        <f t="shared" si="26"/>
        <v>0.42178276747989324</v>
      </c>
      <c r="H173">
        <f t="shared" si="27"/>
        <v>0.88857298072849056</v>
      </c>
      <c r="I173">
        <f t="shared" si="33"/>
        <v>78.19075804454981</v>
      </c>
      <c r="J173">
        <f t="shared" si="34"/>
        <v>0.71491759123629517</v>
      </c>
      <c r="K173">
        <f t="shared" si="32"/>
        <v>0.42085383684983457</v>
      </c>
      <c r="L173">
        <f t="shared" si="35"/>
        <v>55.899948398149519</v>
      </c>
      <c r="M173">
        <f t="shared" si="28"/>
        <v>55.898364134952892</v>
      </c>
      <c r="N173">
        <f t="shared" si="31"/>
        <v>7.5286981278101907E-3</v>
      </c>
    </row>
    <row r="174" spans="1:14" x14ac:dyDescent="0.25">
      <c r="A174">
        <f t="shared" si="29"/>
        <v>170</v>
      </c>
      <c r="B174">
        <f t="shared" si="30"/>
        <v>4.2500000000000031E-2</v>
      </c>
      <c r="C174">
        <f t="shared" si="22"/>
        <v>0.26703537555513263</v>
      </c>
      <c r="D174">
        <f t="shared" si="23"/>
        <v>0.70710678118655401</v>
      </c>
      <c r="E174">
        <f t="shared" si="24"/>
        <v>0.96592582628907053</v>
      </c>
      <c r="F174">
        <f t="shared" si="25"/>
        <v>0.68301270189222718</v>
      </c>
      <c r="G174">
        <f t="shared" si="26"/>
        <v>0.50000000000000921</v>
      </c>
      <c r="H174">
        <f t="shared" si="27"/>
        <v>0.93301270189222363</v>
      </c>
      <c r="I174">
        <f t="shared" si="33"/>
        <v>78.266372089167376</v>
      </c>
      <c r="J174">
        <f t="shared" si="34"/>
        <v>0.7153059896111964</v>
      </c>
      <c r="K174">
        <f t="shared" si="32"/>
        <v>0.41865467731772138</v>
      </c>
      <c r="L174">
        <f t="shared" si="35"/>
        <v>55.984404740519992</v>
      </c>
      <c r="M174">
        <f t="shared" si="28"/>
        <v>55.982839356462776</v>
      </c>
      <c r="N174">
        <f t="shared" si="31"/>
        <v>7.4780589211965037E-3</v>
      </c>
    </row>
    <row r="175" spans="1:14" x14ac:dyDescent="0.25">
      <c r="A175">
        <f t="shared" si="29"/>
        <v>171</v>
      </c>
      <c r="B175">
        <f t="shared" si="30"/>
        <v>4.2750000000000031E-2</v>
      </c>
      <c r="C175">
        <f t="shared" si="22"/>
        <v>0.26860617188192748</v>
      </c>
      <c r="D175">
        <f t="shared" si="23"/>
        <v>0.76040596560003604</v>
      </c>
      <c r="E175">
        <f t="shared" si="24"/>
        <v>0.98325490756395595</v>
      </c>
      <c r="F175">
        <f t="shared" si="25"/>
        <v>0.74767289741714416</v>
      </c>
      <c r="G175">
        <f t="shared" si="26"/>
        <v>0.57821723252012314</v>
      </c>
      <c r="H175">
        <f t="shared" si="27"/>
        <v>0.96679021324860359</v>
      </c>
      <c r="I175">
        <f t="shared" si="33"/>
        <v>78.341913152658364</v>
      </c>
      <c r="J175">
        <f t="shared" si="34"/>
        <v>0.71560106041397653</v>
      </c>
      <c r="K175">
        <f t="shared" si="32"/>
        <v>0.4168090600021841</v>
      </c>
      <c r="L175">
        <f t="shared" si="35"/>
        <v>56.061556126901984</v>
      </c>
      <c r="M175">
        <f t="shared" si="28"/>
        <v>56.060006649814817</v>
      </c>
      <c r="N175">
        <f t="shared" si="31"/>
        <v>7.4348464223627213E-3</v>
      </c>
    </row>
    <row r="176" spans="1:14" x14ac:dyDescent="0.25">
      <c r="A176">
        <f t="shared" si="29"/>
        <v>172</v>
      </c>
      <c r="B176">
        <f t="shared" si="30"/>
        <v>4.3000000000000031E-2</v>
      </c>
      <c r="C176">
        <f t="shared" si="22"/>
        <v>0.27017696820872239</v>
      </c>
      <c r="D176">
        <f t="shared" si="23"/>
        <v>0.80901699437495234</v>
      </c>
      <c r="E176">
        <f t="shared" si="24"/>
        <v>0.99452189536827418</v>
      </c>
      <c r="F176">
        <f t="shared" si="25"/>
        <v>0.80458511463092197</v>
      </c>
      <c r="G176">
        <f t="shared" si="26"/>
        <v>0.65450849718748161</v>
      </c>
      <c r="H176">
        <f t="shared" si="27"/>
        <v>0.98907380036690451</v>
      </c>
      <c r="I176">
        <f t="shared" si="33"/>
        <v>78.415524038289803</v>
      </c>
      <c r="J176">
        <f t="shared" si="34"/>
        <v>0.71579565694727887</v>
      </c>
      <c r="K176">
        <f t="shared" si="32"/>
        <v>0.41536243012678364</v>
      </c>
      <c r="L176">
        <f t="shared" si="35"/>
        <v>56.129491543852787</v>
      </c>
      <c r="M176">
        <f t="shared" si="28"/>
        <v>56.127954666307595</v>
      </c>
      <c r="N176">
        <f t="shared" si="31"/>
        <v>7.4000746969580108E-3</v>
      </c>
    </row>
    <row r="177" spans="1:14" x14ac:dyDescent="0.25">
      <c r="A177">
        <f t="shared" si="29"/>
        <v>173</v>
      </c>
      <c r="B177">
        <f t="shared" si="30"/>
        <v>4.3250000000000031E-2</v>
      </c>
      <c r="C177">
        <f t="shared" si="22"/>
        <v>0.2717477645355173</v>
      </c>
      <c r="D177">
        <f t="shared" si="23"/>
        <v>0.85264016435409684</v>
      </c>
      <c r="E177">
        <f t="shared" si="24"/>
        <v>0.99965732497555748</v>
      </c>
      <c r="F177">
        <f t="shared" si="25"/>
        <v>0.8523479858649361</v>
      </c>
      <c r="G177">
        <f t="shared" si="26"/>
        <v>0.72699524986978126</v>
      </c>
      <c r="H177">
        <f t="shared" si="27"/>
        <v>0.99931476737728731</v>
      </c>
      <c r="I177">
        <f t="shared" si="33"/>
        <v>78.485400117109705</v>
      </c>
      <c r="J177">
        <f t="shared" si="34"/>
        <v>0.71588507079853014</v>
      </c>
      <c r="K177">
        <f t="shared" si="32"/>
        <v>0.41435040852014182</v>
      </c>
      <c r="L177">
        <f t="shared" si="35"/>
        <v>56.186526219488044</v>
      </c>
      <c r="M177">
        <f t="shared" si="28"/>
        <v>56.184998374585511</v>
      </c>
      <c r="N177">
        <f t="shared" si="31"/>
        <v>7.3745510961385303E-3</v>
      </c>
    </row>
    <row r="178" spans="1:14" x14ac:dyDescent="0.25">
      <c r="A178">
        <f t="shared" si="29"/>
        <v>174</v>
      </c>
      <c r="B178">
        <f t="shared" si="30"/>
        <v>4.3500000000000032E-2</v>
      </c>
      <c r="C178">
        <f t="shared" si="22"/>
        <v>0.27331856086231221</v>
      </c>
      <c r="D178">
        <f t="shared" si="23"/>
        <v>0.89100652418837201</v>
      </c>
      <c r="E178">
        <f t="shared" si="24"/>
        <v>0.99862953475457339</v>
      </c>
      <c r="F178">
        <f t="shared" si="25"/>
        <v>0.88978543071352345</v>
      </c>
      <c r="G178">
        <f t="shared" si="26"/>
        <v>0.7938926261462439</v>
      </c>
      <c r="H178">
        <f t="shared" si="27"/>
        <v>0.99726094768413565</v>
      </c>
      <c r="I178">
        <f t="shared" si="33"/>
        <v>78.549832970571117</v>
      </c>
      <c r="J178">
        <f t="shared" si="34"/>
        <v>0.71586713980043248</v>
      </c>
      <c r="K178">
        <f t="shared" si="32"/>
        <v>0.41379791451292119</v>
      </c>
      <c r="L178">
        <f t="shared" si="35"/>
        <v>56.231244260444456</v>
      </c>
      <c r="M178">
        <f t="shared" si="28"/>
        <v>56.229721699148683</v>
      </c>
      <c r="N178">
        <f t="shared" si="31"/>
        <v>7.3588610736825709E-3</v>
      </c>
    </row>
    <row r="179" spans="1:14" x14ac:dyDescent="0.25">
      <c r="A179">
        <f t="shared" si="29"/>
        <v>175</v>
      </c>
      <c r="B179">
        <f t="shared" si="30"/>
        <v>4.3750000000000032E-2</v>
      </c>
      <c r="C179">
        <f t="shared" si="22"/>
        <v>0.27488935718910712</v>
      </c>
      <c r="D179">
        <f t="shared" si="23"/>
        <v>0.92387953251129051</v>
      </c>
      <c r="E179">
        <f t="shared" si="24"/>
        <v>0.99144486137380927</v>
      </c>
      <c r="F179">
        <f t="shared" si="25"/>
        <v>0.91597561503675617</v>
      </c>
      <c r="G179">
        <f t="shared" si="26"/>
        <v>0.85355339059328073</v>
      </c>
      <c r="H179">
        <f t="shared" si="27"/>
        <v>0.98296291314453188</v>
      </c>
      <c r="I179">
        <f t="shared" si="33"/>
        <v>78.607251257929349</v>
      </c>
      <c r="J179">
        <f t="shared" si="34"/>
        <v>0.71574229748863305</v>
      </c>
      <c r="K179">
        <f t="shared" si="32"/>
        <v>0.41371855234120231</v>
      </c>
      <c r="L179">
        <f t="shared" si="35"/>
        <v>56.262534614616591</v>
      </c>
      <c r="M179">
        <f t="shared" si="28"/>
        <v>56.261013483764927</v>
      </c>
      <c r="N179">
        <f t="shared" si="31"/>
        <v>7.3533578814936875E-3</v>
      </c>
    </row>
    <row r="180" spans="1:14" x14ac:dyDescent="0.25">
      <c r="A180">
        <f t="shared" si="29"/>
        <v>176</v>
      </c>
      <c r="B180">
        <f t="shared" si="30"/>
        <v>4.4000000000000032E-2</v>
      </c>
      <c r="C180">
        <f t="shared" si="22"/>
        <v>0.27646015351590197</v>
      </c>
      <c r="D180">
        <f t="shared" si="23"/>
        <v>0.9510565162951562</v>
      </c>
      <c r="E180">
        <f t="shared" si="24"/>
        <v>0.97814760073380402</v>
      </c>
      <c r="F180">
        <f t="shared" si="25"/>
        <v>0.93027364957635705</v>
      </c>
      <c r="G180">
        <f t="shared" si="26"/>
        <v>0.90450849718747872</v>
      </c>
      <c r="H180">
        <f t="shared" si="27"/>
        <v>0.95677272882129727</v>
      </c>
      <c r="I180">
        <f t="shared" si="33"/>
        <v>78.656257921411495</v>
      </c>
      <c r="J180">
        <f t="shared" si="34"/>
        <v>0.7155135631909898</v>
      </c>
      <c r="K180">
        <f t="shared" si="32"/>
        <v>0.41411427616504048</v>
      </c>
      <c r="L180">
        <f t="shared" si="35"/>
        <v>56.279619372618654</v>
      </c>
      <c r="M180">
        <f t="shared" si="28"/>
        <v>56.278095793062413</v>
      </c>
      <c r="N180">
        <f t="shared" si="31"/>
        <v>7.358157016365976E-3</v>
      </c>
    </row>
    <row r="181" spans="1:14" x14ac:dyDescent="0.25">
      <c r="A181">
        <f t="shared" si="29"/>
        <v>177</v>
      </c>
      <c r="B181">
        <f t="shared" si="30"/>
        <v>4.4250000000000032E-2</v>
      </c>
      <c r="C181">
        <f t="shared" si="22"/>
        <v>0.27803094984269688</v>
      </c>
      <c r="D181">
        <f t="shared" si="23"/>
        <v>0.97236992039767867</v>
      </c>
      <c r="E181">
        <f t="shared" si="24"/>
        <v>0.95881973486819072</v>
      </c>
      <c r="F181">
        <f t="shared" si="25"/>
        <v>0.93232746926950594</v>
      </c>
      <c r="G181">
        <f t="shared" si="26"/>
        <v>0.945503262094188</v>
      </c>
      <c r="H181">
        <f t="shared" si="27"/>
        <v>0.91933528397270758</v>
      </c>
      <c r="I181">
        <f t="shared" si="33"/>
        <v>78.69566295795309</v>
      </c>
      <c r="J181">
        <f t="shared" si="34"/>
        <v>0.71518647292133464</v>
      </c>
      <c r="K181">
        <f t="shared" si="32"/>
        <v>0.41497534195056091</v>
      </c>
      <c r="L181">
        <f t="shared" si="35"/>
        <v>56.282073625104594</v>
      </c>
      <c r="M181">
        <f t="shared" si="28"/>
        <v>56.280543769648027</v>
      </c>
      <c r="N181">
        <f t="shared" si="31"/>
        <v>7.3731352670961528E-3</v>
      </c>
    </row>
    <row r="182" spans="1:14" x14ac:dyDescent="0.25">
      <c r="A182">
        <f t="shared" si="29"/>
        <v>178</v>
      </c>
      <c r="B182">
        <f t="shared" si="30"/>
        <v>4.4500000000000033E-2</v>
      </c>
      <c r="C182">
        <f t="shared" si="22"/>
        <v>0.27960174616949179</v>
      </c>
      <c r="D182">
        <f t="shared" si="23"/>
        <v>0.98768834059513921</v>
      </c>
      <c r="E182">
        <f t="shared" si="24"/>
        <v>0.93358042649719863</v>
      </c>
      <c r="F182">
        <f t="shared" si="25"/>
        <v>0.92208650225912048</v>
      </c>
      <c r="G182">
        <f t="shared" si="26"/>
        <v>0.97552825814757971</v>
      </c>
      <c r="H182">
        <f t="shared" si="27"/>
        <v>0.87157241273869135</v>
      </c>
      <c r="I182">
        <f t="shared" si="33"/>
        <v>78.72451110705498</v>
      </c>
      <c r="J182">
        <f t="shared" si="34"/>
        <v>0.71476895229104198</v>
      </c>
      <c r="K182">
        <f t="shared" si="32"/>
        <v>0.41628054740041054</v>
      </c>
      <c r="L182">
        <f t="shared" si="35"/>
        <v>56.269836323614186</v>
      </c>
      <c r="M182">
        <f t="shared" si="28"/>
        <v>56.268296494493121</v>
      </c>
      <c r="N182">
        <f t="shared" si="31"/>
        <v>7.3979342148133165E-3</v>
      </c>
    </row>
    <row r="183" spans="1:14" x14ac:dyDescent="0.25">
      <c r="A183">
        <f t="shared" si="29"/>
        <v>179</v>
      </c>
      <c r="B183">
        <f t="shared" si="30"/>
        <v>4.4750000000000033E-2</v>
      </c>
      <c r="C183">
        <f t="shared" si="22"/>
        <v>0.2811725424962867</v>
      </c>
      <c r="D183">
        <f t="shared" si="23"/>
        <v>0.99691733373312874</v>
      </c>
      <c r="E183">
        <f t="shared" si="24"/>
        <v>0.90258528434985674</v>
      </c>
      <c r="F183">
        <f t="shared" si="25"/>
        <v>0.89980291514081701</v>
      </c>
      <c r="G183">
        <f t="shared" si="26"/>
        <v>0.99384417029757044</v>
      </c>
      <c r="H183">
        <f t="shared" si="27"/>
        <v>0.81466019552491176</v>
      </c>
      <c r="I183">
        <f t="shared" si="33"/>
        <v>78.742103926409726</v>
      </c>
      <c r="J183">
        <f t="shared" si="34"/>
        <v>0.71427113370488482</v>
      </c>
      <c r="K183">
        <f t="shared" si="32"/>
        <v>0.41799775402468536</v>
      </c>
      <c r="L183">
        <f t="shared" si="35"/>
        <v>56.243211841824539</v>
      </c>
      <c r="M183">
        <f t="shared" si="28"/>
        <v>56.241658547396902</v>
      </c>
      <c r="N183">
        <f t="shared" si="31"/>
        <v>7.4319680604343925E-3</v>
      </c>
    </row>
    <row r="184" spans="1:14" x14ac:dyDescent="0.25">
      <c r="A184">
        <f t="shared" si="29"/>
        <v>180</v>
      </c>
      <c r="B184">
        <f t="shared" si="30"/>
        <v>4.5000000000000033E-2</v>
      </c>
      <c r="C184">
        <f t="shared" si="22"/>
        <v>0.28274333882308161</v>
      </c>
      <c r="D184">
        <f t="shared" si="23"/>
        <v>1</v>
      </c>
      <c r="E184">
        <f t="shared" si="24"/>
        <v>0.86602540378443305</v>
      </c>
      <c r="F184">
        <f t="shared" si="25"/>
        <v>0.86602540378443305</v>
      </c>
      <c r="G184">
        <f t="shared" si="26"/>
        <v>1</v>
      </c>
      <c r="H184">
        <f t="shared" si="27"/>
        <v>0.74999999999999034</v>
      </c>
      <c r="I184">
        <f t="shared" si="33"/>
        <v>78.748015848019961</v>
      </c>
      <c r="J184">
        <f t="shared" si="34"/>
        <v>0.71370512118100993</v>
      </c>
      <c r="K184">
        <f t="shared" si="32"/>
        <v>0.42008467849721404</v>
      </c>
      <c r="L184">
        <f t="shared" si="35"/>
        <v>56.202862193575179</v>
      </c>
      <c r="M184">
        <f t="shared" si="28"/>
        <v>56.201292223692633</v>
      </c>
      <c r="N184">
        <f t="shared" si="31"/>
        <v>7.4744356799899053E-3</v>
      </c>
    </row>
    <row r="185" spans="1:14" x14ac:dyDescent="0.25">
      <c r="A185">
        <f t="shared" si="29"/>
        <v>181</v>
      </c>
      <c r="B185">
        <f t="shared" si="30"/>
        <v>4.5250000000000033E-2</v>
      </c>
      <c r="C185">
        <f t="shared" si="22"/>
        <v>0.28431413514987647</v>
      </c>
      <c r="D185">
        <f t="shared" si="23"/>
        <v>0.9969173337331273</v>
      </c>
      <c r="E185">
        <f t="shared" si="24"/>
        <v>0.82412618862201104</v>
      </c>
      <c r="F185">
        <f t="shared" si="25"/>
        <v>0.82158568262069964</v>
      </c>
      <c r="G185">
        <f t="shared" si="26"/>
        <v>0.99384417029756755</v>
      </c>
      <c r="H185">
        <f t="shared" si="27"/>
        <v>0.67918397477264247</v>
      </c>
      <c r="I185">
        <f t="shared" si="33"/>
        <v>78.742103926409726</v>
      </c>
      <c r="J185">
        <f t="shared" si="34"/>
        <v>0.71308470722955364</v>
      </c>
      <c r="K185">
        <f t="shared" si="32"/>
        <v>0.4224899338113775</v>
      </c>
      <c r="L185">
        <f t="shared" si="35"/>
        <v>56.149790125002966</v>
      </c>
      <c r="M185">
        <f t="shared" si="28"/>
        <v>56.148200624220443</v>
      </c>
      <c r="N185">
        <f t="shared" si="31"/>
        <v>7.5243368295912251E-3</v>
      </c>
    </row>
    <row r="186" spans="1:14" x14ac:dyDescent="0.25">
      <c r="A186">
        <f t="shared" si="29"/>
        <v>182</v>
      </c>
      <c r="B186">
        <f t="shared" si="30"/>
        <v>4.5500000000000033E-2</v>
      </c>
      <c r="C186">
        <f t="shared" si="22"/>
        <v>0.28588493147667138</v>
      </c>
      <c r="D186">
        <f t="shared" si="23"/>
        <v>0.98768834059513633</v>
      </c>
      <c r="E186">
        <f t="shared" si="24"/>
        <v>0.77714596145696546</v>
      </c>
      <c r="F186">
        <f t="shared" si="25"/>
        <v>0.76757800507164198</v>
      </c>
      <c r="G186">
        <f t="shared" si="26"/>
        <v>0.97552825814757405</v>
      </c>
      <c r="H186">
        <f t="shared" si="27"/>
        <v>0.60395584540887126</v>
      </c>
      <c r="I186">
        <f t="shared" si="33"/>
        <v>78.72451110705498</v>
      </c>
      <c r="J186">
        <f t="shared" si="34"/>
        <v>0.71242504733312884</v>
      </c>
      <c r="K186">
        <f t="shared" si="32"/>
        <v>0.42515429459875642</v>
      </c>
      <c r="L186">
        <f t="shared" si="35"/>
        <v>56.085313551721072</v>
      </c>
      <c r="M186">
        <f t="shared" si="28"/>
        <v>56.083702089115441</v>
      </c>
      <c r="N186">
        <f t="shared" si="31"/>
        <v>7.5804924261800768E-3</v>
      </c>
    </row>
    <row r="187" spans="1:14" x14ac:dyDescent="0.25">
      <c r="A187">
        <f t="shared" si="29"/>
        <v>183</v>
      </c>
      <c r="B187">
        <f t="shared" si="30"/>
        <v>4.5750000000000034E-2</v>
      </c>
      <c r="C187">
        <f t="shared" si="22"/>
        <v>0.28745572780346629</v>
      </c>
      <c r="D187">
        <f t="shared" si="23"/>
        <v>0.97236992039767434</v>
      </c>
      <c r="E187">
        <f t="shared" si="24"/>
        <v>0.72537437101228142</v>
      </c>
      <c r="F187">
        <f t="shared" si="25"/>
        <v>0.70533221939972512</v>
      </c>
      <c r="G187">
        <f t="shared" si="26"/>
        <v>0.94550326209417956</v>
      </c>
      <c r="H187">
        <f t="shared" si="27"/>
        <v>0.52616797812146288</v>
      </c>
      <c r="I187">
        <f t="shared" si="33"/>
        <v>78.695662957953061</v>
      </c>
      <c r="J187">
        <f t="shared" si="34"/>
        <v>0.71174229867735017</v>
      </c>
      <c r="K187">
        <f t="shared" si="32"/>
        <v>0.42801215545425869</v>
      </c>
      <c r="L187">
        <f t="shared" si="35"/>
        <v>56.01103204963151</v>
      </c>
      <c r="M187">
        <f t="shared" si="28"/>
        <v>56.00939668358901</v>
      </c>
      <c r="N187">
        <f t="shared" si="31"/>
        <v>7.6415688087124707E-3</v>
      </c>
    </row>
    <row r="188" spans="1:14" x14ac:dyDescent="0.25">
      <c r="A188">
        <f t="shared" si="29"/>
        <v>184</v>
      </c>
      <c r="B188">
        <f t="shared" si="30"/>
        <v>4.6000000000000034E-2</v>
      </c>
      <c r="C188">
        <f t="shared" si="22"/>
        <v>0.2890265241302612</v>
      </c>
      <c r="D188">
        <f t="shared" si="23"/>
        <v>0.95105651629515042</v>
      </c>
      <c r="E188">
        <f t="shared" si="24"/>
        <v>0.66913060635885113</v>
      </c>
      <c r="F188">
        <f t="shared" si="25"/>
        <v>0.6363810234301106</v>
      </c>
      <c r="G188">
        <f t="shared" si="26"/>
        <v>0.90450849718746773</v>
      </c>
      <c r="H188">
        <f t="shared" si="27"/>
        <v>0.4477357683661638</v>
      </c>
      <c r="I188">
        <f t="shared" si="33"/>
        <v>78.656257921411481</v>
      </c>
      <c r="J188">
        <f t="shared" si="34"/>
        <v>0.71105323085165506</v>
      </c>
      <c r="K188">
        <f t="shared" si="32"/>
        <v>0.43099314635892588</v>
      </c>
      <c r="L188">
        <f t="shared" si="35"/>
        <v>55.928786321720722</v>
      </c>
      <c r="M188">
        <f t="shared" si="28"/>
        <v>55.927125657667105</v>
      </c>
      <c r="N188">
        <f t="shared" si="31"/>
        <v>7.7061058303627755E-3</v>
      </c>
    </row>
    <row r="189" spans="1:14" x14ac:dyDescent="0.25">
      <c r="A189">
        <f t="shared" si="29"/>
        <v>185</v>
      </c>
      <c r="B189">
        <f t="shared" si="30"/>
        <v>4.6250000000000034E-2</v>
      </c>
      <c r="C189">
        <f t="shared" si="22"/>
        <v>0.29059732045705605</v>
      </c>
      <c r="D189">
        <f t="shared" si="23"/>
        <v>0.92387953251128341</v>
      </c>
      <c r="E189">
        <f t="shared" si="24"/>
        <v>0.60876142900871422</v>
      </c>
      <c r="F189">
        <f t="shared" si="25"/>
        <v>0.56242222444347179</v>
      </c>
      <c r="G189">
        <f t="shared" si="26"/>
        <v>0.85355339059326762</v>
      </c>
      <c r="H189">
        <f t="shared" si="27"/>
        <v>0.3705904774487318</v>
      </c>
      <c r="I189">
        <f t="shared" si="33"/>
        <v>78.607251257929349</v>
      </c>
      <c r="J189">
        <f t="shared" si="34"/>
        <v>0.71037481723953955</v>
      </c>
      <c r="K189">
        <f t="shared" si="32"/>
        <v>0.43402386542334326</v>
      </c>
      <c r="L189">
        <f t="shared" si="35"/>
        <v>55.84061174605413</v>
      </c>
      <c r="M189">
        <f t="shared" si="28"/>
        <v>55.838924984797131</v>
      </c>
      <c r="N189">
        <f t="shared" si="31"/>
        <v>7.7725485422178017E-3</v>
      </c>
    </row>
    <row r="190" spans="1:14" x14ac:dyDescent="0.25">
      <c r="A190">
        <f t="shared" si="29"/>
        <v>186</v>
      </c>
      <c r="B190">
        <f t="shared" si="30"/>
        <v>4.6500000000000034E-2</v>
      </c>
      <c r="C190">
        <f t="shared" si="22"/>
        <v>0.29216811678385096</v>
      </c>
      <c r="D190">
        <f t="shared" si="23"/>
        <v>0.89100652418836368</v>
      </c>
      <c r="E190">
        <f t="shared" si="24"/>
        <v>0.54463903501501987</v>
      </c>
      <c r="F190">
        <f t="shared" si="25"/>
        <v>0.48527693352603735</v>
      </c>
      <c r="G190">
        <f t="shared" si="26"/>
        <v>0.79389262614622913</v>
      </c>
      <c r="H190">
        <f t="shared" si="27"/>
        <v>0.29663167846209204</v>
      </c>
      <c r="I190">
        <f t="shared" si="33"/>
        <v>78.549832970571089</v>
      </c>
      <c r="J190">
        <f t="shared" si="34"/>
        <v>0.70972381669264561</v>
      </c>
      <c r="K190">
        <f t="shared" si="32"/>
        <v>0.43702968628576505</v>
      </c>
      <c r="L190">
        <f t="shared" si="35"/>
        <v>55.748687256443525</v>
      </c>
      <c r="M190">
        <f t="shared" si="28"/>
        <v>55.746974230625767</v>
      </c>
      <c r="N190">
        <f t="shared" si="31"/>
        <v>7.8392821031898364E-3</v>
      </c>
    </row>
    <row r="191" spans="1:14" x14ac:dyDescent="0.25">
      <c r="A191">
        <f t="shared" si="29"/>
        <v>187</v>
      </c>
      <c r="B191">
        <f t="shared" si="30"/>
        <v>4.6750000000000035E-2</v>
      </c>
      <c r="C191">
        <f t="shared" si="22"/>
        <v>0.29373891311064587</v>
      </c>
      <c r="D191">
        <f t="shared" si="23"/>
        <v>0.85264016435408718</v>
      </c>
      <c r="E191">
        <f t="shared" si="24"/>
        <v>0.47715876025960047</v>
      </c>
      <c r="F191">
        <f t="shared" si="25"/>
        <v>0.40684472377073821</v>
      </c>
      <c r="G191">
        <f t="shared" si="26"/>
        <v>0.72699524986976483</v>
      </c>
      <c r="H191">
        <f t="shared" si="27"/>
        <v>0.22768048249247888</v>
      </c>
      <c r="I191">
        <f t="shared" si="33"/>
        <v>78.485400117109691</v>
      </c>
      <c r="J191">
        <f t="shared" si="34"/>
        <v>0.70911635577749577</v>
      </c>
      <c r="K191">
        <f t="shared" si="32"/>
        <v>0.43993659566081078</v>
      </c>
      <c r="L191">
        <f t="shared" si="35"/>
        <v>55.655280912783461</v>
      </c>
      <c r="M191">
        <f t="shared" si="28"/>
        <v>55.653542108949701</v>
      </c>
      <c r="N191">
        <f t="shared" si="31"/>
        <v>7.9046693942705758E-3</v>
      </c>
    </row>
    <row r="192" spans="1:14" x14ac:dyDescent="0.25">
      <c r="A192">
        <f t="shared" si="29"/>
        <v>188</v>
      </c>
      <c r="B192">
        <f t="shared" si="30"/>
        <v>4.7000000000000035E-2</v>
      </c>
      <c r="C192">
        <f t="shared" si="22"/>
        <v>0.29530970943744078</v>
      </c>
      <c r="D192">
        <f t="shared" si="23"/>
        <v>0.80901699437494146</v>
      </c>
      <c r="E192">
        <f t="shared" si="24"/>
        <v>0.40673664307579155</v>
      </c>
      <c r="F192">
        <f t="shared" si="25"/>
        <v>0.32905685648333022</v>
      </c>
      <c r="G192">
        <f t="shared" si="26"/>
        <v>0.65450849718746407</v>
      </c>
      <c r="H192">
        <f t="shared" si="27"/>
        <v>0.16543469682056386</v>
      </c>
      <c r="I192">
        <f t="shared" si="33"/>
        <v>78.415524038289789</v>
      </c>
      <c r="J192">
        <f t="shared" si="34"/>
        <v>0.70856752233662024</v>
      </c>
      <c r="K192">
        <f t="shared" si="32"/>
        <v>0.44267301579218793</v>
      </c>
      <c r="L192">
        <f t="shared" si="35"/>
        <v>55.562693580538678</v>
      </c>
      <c r="M192">
        <f t="shared" si="28"/>
        <v>55.560930144535227</v>
      </c>
      <c r="N192">
        <f t="shared" si="31"/>
        <v>7.9670906370032085E-3</v>
      </c>
    </row>
    <row r="193" spans="1:14" x14ac:dyDescent="0.25">
      <c r="A193">
        <f t="shared" si="29"/>
        <v>189</v>
      </c>
      <c r="B193">
        <f t="shared" si="30"/>
        <v>4.7250000000000035E-2</v>
      </c>
      <c r="C193">
        <f t="shared" si="22"/>
        <v>0.29688050576423569</v>
      </c>
      <c r="D193">
        <f t="shared" si="23"/>
        <v>0.76040596560002294</v>
      </c>
      <c r="E193">
        <f t="shared" si="24"/>
        <v>0.33380685923375991</v>
      </c>
      <c r="F193">
        <f t="shared" si="25"/>
        <v>0.25382872711955812</v>
      </c>
      <c r="G193">
        <f t="shared" si="26"/>
        <v>0.57821723252010326</v>
      </c>
      <c r="H193">
        <f t="shared" si="27"/>
        <v>0.11142701927150721</v>
      </c>
      <c r="I193">
        <f t="shared" si="33"/>
        <v>78.341913152658364</v>
      </c>
      <c r="J193">
        <f t="shared" si="34"/>
        <v>0.70809098125939562</v>
      </c>
      <c r="K193">
        <f t="shared" si="32"/>
        <v>0.44517156693460408</v>
      </c>
      <c r="L193">
        <f t="shared" si="35"/>
        <v>55.473202158004213</v>
      </c>
      <c r="M193">
        <f t="shared" si="28"/>
        <v>55.471415881864743</v>
      </c>
      <c r="N193">
        <f t="shared" si="31"/>
        <v>8.0249841295734602E-3</v>
      </c>
    </row>
    <row r="194" spans="1:14" x14ac:dyDescent="0.25">
      <c r="A194">
        <f t="shared" si="29"/>
        <v>190</v>
      </c>
      <c r="B194">
        <f t="shared" si="30"/>
        <v>4.7500000000000035E-2</v>
      </c>
      <c r="C194">
        <f t="shared" si="22"/>
        <v>0.29845130209103055</v>
      </c>
      <c r="D194">
        <f t="shared" si="23"/>
        <v>0.70710678118654102</v>
      </c>
      <c r="E194">
        <f t="shared" si="24"/>
        <v>0.25881904510251247</v>
      </c>
      <c r="F194">
        <f t="shared" si="25"/>
        <v>0.18301270189221178</v>
      </c>
      <c r="G194">
        <f t="shared" si="26"/>
        <v>0.49999999999999079</v>
      </c>
      <c r="H194">
        <f t="shared" si="27"/>
        <v>6.6987298107776386E-2</v>
      </c>
      <c r="I194">
        <f t="shared" si="33"/>
        <v>78.266372089167376</v>
      </c>
      <c r="J194">
        <f t="shared" si="34"/>
        <v>0.70769862316267584</v>
      </c>
      <c r="K194">
        <f t="shared" si="32"/>
        <v>0.44737072646671716</v>
      </c>
      <c r="L194">
        <f t="shared" si="35"/>
        <v>55.38900376744143</v>
      </c>
      <c r="M194">
        <f t="shared" si="28"/>
        <v>55.387197056564816</v>
      </c>
      <c r="N194">
        <f t="shared" si="31"/>
        <v>8.0768870360092854E-3</v>
      </c>
    </row>
    <row r="195" spans="1:14" x14ac:dyDescent="0.25">
      <c r="A195">
        <f t="shared" si="29"/>
        <v>191</v>
      </c>
      <c r="B195">
        <f t="shared" si="30"/>
        <v>4.7750000000000035E-2</v>
      </c>
      <c r="C195">
        <f t="shared" si="22"/>
        <v>0.30002209841782546</v>
      </c>
      <c r="D195">
        <f t="shared" si="23"/>
        <v>0.64944804833017633</v>
      </c>
      <c r="E195">
        <f t="shared" si="24"/>
        <v>0.18223552549213859</v>
      </c>
      <c r="F195">
        <f t="shared" si="25"/>
        <v>0.1183525063672935</v>
      </c>
      <c r="G195">
        <f t="shared" si="26"/>
        <v>0.42178276747987503</v>
      </c>
      <c r="H195">
        <f t="shared" si="27"/>
        <v>3.3209786751395895E-2</v>
      </c>
      <c r="I195">
        <f t="shared" si="33"/>
        <v>78.19075804454981</v>
      </c>
      <c r="J195">
        <f t="shared" si="34"/>
        <v>0.70740025610286028</v>
      </c>
      <c r="K195">
        <f t="shared" si="32"/>
        <v>0.4492163437822545</v>
      </c>
      <c r="L195">
        <f t="shared" si="35"/>
        <v>55.312162265591319</v>
      </c>
      <c r="M195">
        <f t="shared" si="28"/>
        <v>55.310338085855008</v>
      </c>
      <c r="N195">
        <f t="shared" si="31"/>
        <v>8.1214750134927152E-3</v>
      </c>
    </row>
    <row r="196" spans="1:14" x14ac:dyDescent="0.25">
      <c r="A196">
        <f t="shared" si="29"/>
        <v>192</v>
      </c>
      <c r="B196">
        <f t="shared" si="30"/>
        <v>4.8000000000000036E-2</v>
      </c>
      <c r="C196">
        <f t="shared" si="22"/>
        <v>0.30159289474462037</v>
      </c>
      <c r="D196">
        <f t="shared" si="23"/>
        <v>0.58778525229246503</v>
      </c>
      <c r="E196">
        <f t="shared" si="24"/>
        <v>0.10452846326764406</v>
      </c>
      <c r="F196">
        <f t="shared" si="25"/>
        <v>6.1440289153515827E-2</v>
      </c>
      <c r="G196">
        <f t="shared" si="26"/>
        <v>0.34549150281251678</v>
      </c>
      <c r="H196">
        <f t="shared" si="27"/>
        <v>1.0926199633095214E-2</v>
      </c>
      <c r="I196">
        <f t="shared" si="33"/>
        <v>78.116935358476482</v>
      </c>
      <c r="J196">
        <f t="shared" si="34"/>
        <v>0.70720334946563534</v>
      </c>
      <c r="K196">
        <f t="shared" si="32"/>
        <v>0.45066297365765484</v>
      </c>
      <c r="L196">
        <f t="shared" si="35"/>
        <v>55.24455833550509</v>
      </c>
      <c r="M196">
        <f t="shared" si="28"/>
        <v>55.242720140930778</v>
      </c>
      <c r="N196">
        <f t="shared" si="31"/>
        <v>8.1575993588497656E-3</v>
      </c>
    </row>
    <row r="197" spans="1:14" x14ac:dyDescent="0.25">
      <c r="A197">
        <f t="shared" si="29"/>
        <v>193</v>
      </c>
      <c r="B197">
        <f t="shared" si="30"/>
        <v>4.8250000000000036E-2</v>
      </c>
      <c r="C197">
        <f t="shared" ref="C197:C260" si="36">2*PI()*B197</f>
        <v>0.30316369107141528</v>
      </c>
      <c r="D197">
        <f t="shared" ref="D197:D260" si="37">$C$1*SIN(C197*50)</f>
        <v>0.52249856471593992</v>
      </c>
      <c r="E197">
        <f t="shared" ref="E197:E260" si="38">$C$2*SIN(C197*50 + PI()*30/180)</f>
        <v>2.6176948307863258E-2</v>
      </c>
      <c r="F197">
        <f t="shared" ref="F197:F260" si="39">D197*E197</f>
        <v>1.3677417919501904E-2</v>
      </c>
      <c r="G197">
        <f t="shared" ref="G197:G260" si="40">POWER(D197,2)</f>
        <v>0.27300475013021724</v>
      </c>
      <c r="H197">
        <f t="shared" ref="H197:H260" si="41">POWER(E197,2)</f>
        <v>6.8523262271254508E-4</v>
      </c>
      <c r="I197">
        <f t="shared" si="33"/>
        <v>78.046729389880241</v>
      </c>
      <c r="J197">
        <f t="shared" si="34"/>
        <v>0.7071128378185364</v>
      </c>
      <c r="K197">
        <f t="shared" si="32"/>
        <v>0.45167499526429672</v>
      </c>
      <c r="L197">
        <f t="shared" si="35"/>
        <v>55.187844301333584</v>
      </c>
      <c r="M197">
        <f t="shared" ref="M197:M260" si="42">SQRT(POWER(L197,2)-POWER(K197,2))</f>
        <v>55.185995943961096</v>
      </c>
      <c r="N197">
        <f t="shared" si="31"/>
        <v>8.1843203151419752E-3</v>
      </c>
    </row>
    <row r="198" spans="1:14" x14ac:dyDescent="0.25">
      <c r="A198">
        <f t="shared" ref="A198:A261" si="43">A197+1</f>
        <v>194</v>
      </c>
      <c r="B198">
        <f t="shared" ref="B198:B261" si="44">B197+(1/4000)</f>
        <v>4.8500000000000036E-2</v>
      </c>
      <c r="C198">
        <f t="shared" si="36"/>
        <v>0.30473448739821019</v>
      </c>
      <c r="D198">
        <f t="shared" si="37"/>
        <v>0.45399049973953542</v>
      </c>
      <c r="E198">
        <f t="shared" si="38"/>
        <v>-5.2335956242955929E-2</v>
      </c>
      <c r="F198">
        <f t="shared" si="39"/>
        <v>-2.376002692908602E-2</v>
      </c>
      <c r="G198">
        <f t="shared" si="40"/>
        <v>0.20610737385375311</v>
      </c>
      <c r="H198">
        <f t="shared" si="41"/>
        <v>2.7390523158645976E-3</v>
      </c>
      <c r="I198">
        <f t="shared" si="33"/>
        <v>77.981880846100267</v>
      </c>
      <c r="J198">
        <f t="shared" si="34"/>
        <v>0.7071309908029404</v>
      </c>
      <c r="K198">
        <f t="shared" si="32"/>
        <v>0.45222748927151724</v>
      </c>
      <c r="L198">
        <f t="shared" si="35"/>
        <v>55.14340466737972</v>
      </c>
      <c r="M198">
        <f t="shared" si="42"/>
        <v>55.141550292028811</v>
      </c>
      <c r="N198">
        <f t="shared" ref="N198:N261" si="45">K198/L198</f>
        <v>8.200935216084582E-3</v>
      </c>
    </row>
    <row r="199" spans="1:14" x14ac:dyDescent="0.25">
      <c r="A199">
        <f t="shared" si="43"/>
        <v>195</v>
      </c>
      <c r="B199">
        <f t="shared" si="44"/>
        <v>4.8750000000000036E-2</v>
      </c>
      <c r="C199">
        <f t="shared" si="36"/>
        <v>0.30630528372500504</v>
      </c>
      <c r="D199">
        <f t="shared" si="37"/>
        <v>0.3826834323650809</v>
      </c>
      <c r="E199">
        <f t="shared" si="38"/>
        <v>-0.13052619222006051</v>
      </c>
      <c r="F199">
        <f t="shared" si="39"/>
        <v>-4.9950211252317078E-2</v>
      </c>
      <c r="G199">
        <f t="shared" si="40"/>
        <v>0.14644660940671944</v>
      </c>
      <c r="H199">
        <f t="shared" si="41"/>
        <v>1.7037086855468186E-2</v>
      </c>
      <c r="I199">
        <f t="shared" si="33"/>
        <v>77.924001756023586</v>
      </c>
      <c r="J199">
        <f t="shared" si="34"/>
        <v>0.70725735315067129</v>
      </c>
      <c r="K199">
        <f t="shared" si="32"/>
        <v>0.45230685144323624</v>
      </c>
      <c r="L199">
        <f t="shared" si="35"/>
        <v>55.1123232288735</v>
      </c>
      <c r="M199">
        <f t="shared" si="42"/>
        <v>55.110467156393867</v>
      </c>
      <c r="N199">
        <f t="shared" si="45"/>
        <v>8.2070002667982509E-3</v>
      </c>
    </row>
    <row r="200" spans="1:14" x14ac:dyDescent="0.25">
      <c r="A200">
        <f t="shared" si="43"/>
        <v>196</v>
      </c>
      <c r="B200">
        <f t="shared" si="44"/>
        <v>4.9000000000000037E-2</v>
      </c>
      <c r="C200">
        <f t="shared" si="36"/>
        <v>0.30787608005179995</v>
      </c>
      <c r="D200">
        <f t="shared" si="37"/>
        <v>0.30901699437493785</v>
      </c>
      <c r="E200">
        <f t="shared" si="38"/>
        <v>-0.20791169081776859</v>
      </c>
      <c r="F200">
        <f t="shared" si="39"/>
        <v>-6.4248245791918207E-2</v>
      </c>
      <c r="G200">
        <f t="shared" si="40"/>
        <v>9.5491502812520376E-2</v>
      </c>
      <c r="H200">
        <f t="shared" si="41"/>
        <v>4.3227271178703397E-2</v>
      </c>
      <c r="I200">
        <f t="shared" si="33"/>
        <v>77.87453428304012</v>
      </c>
      <c r="J200">
        <f t="shared" si="34"/>
        <v>0.70748875672319611</v>
      </c>
      <c r="K200">
        <f t="shared" si="32"/>
        <v>0.45191112761939806</v>
      </c>
      <c r="L200">
        <f t="shared" si="35"/>
        <v>55.095357440305968</v>
      </c>
      <c r="M200">
        <f t="shared" si="42"/>
        <v>55.093504043651208</v>
      </c>
      <c r="N200">
        <f t="shared" si="45"/>
        <v>8.2023449636211016E-3</v>
      </c>
    </row>
    <row r="201" spans="1:14" x14ac:dyDescent="0.25">
      <c r="A201">
        <f t="shared" si="43"/>
        <v>197</v>
      </c>
      <c r="B201">
        <f t="shared" si="44"/>
        <v>4.9250000000000037E-2</v>
      </c>
      <c r="C201">
        <f t="shared" si="36"/>
        <v>0.30944687637859486</v>
      </c>
      <c r="D201">
        <f t="shared" si="37"/>
        <v>0.2334453638558952</v>
      </c>
      <c r="E201">
        <f t="shared" si="38"/>
        <v>-0.28401534470393208</v>
      </c>
      <c r="F201">
        <f t="shared" si="39"/>
        <v>-6.6302065485066924E-2</v>
      </c>
      <c r="G201">
        <f t="shared" si="40"/>
        <v>5.4496737905811304E-2</v>
      </c>
      <c r="H201">
        <f t="shared" si="41"/>
        <v>8.0664716027293359E-2</v>
      </c>
      <c r="I201">
        <f t="shared" si="33"/>
        <v>77.83471353842225</v>
      </c>
      <c r="J201">
        <f t="shared" si="34"/>
        <v>0.70781940419173384</v>
      </c>
      <c r="K201">
        <f t="shared" si="32"/>
        <v>0.45105006183387769</v>
      </c>
      <c r="L201">
        <f t="shared" si="35"/>
        <v>55.09292056220032</v>
      </c>
      <c r="M201">
        <f t="shared" si="42"/>
        <v>55.091074140142112</v>
      </c>
      <c r="N201">
        <f t="shared" si="45"/>
        <v>8.1870784345992112E-3</v>
      </c>
    </row>
    <row r="202" spans="1:14" x14ac:dyDescent="0.25">
      <c r="A202">
        <f t="shared" si="43"/>
        <v>198</v>
      </c>
      <c r="B202">
        <f t="shared" si="44"/>
        <v>4.9500000000000037E-2</v>
      </c>
      <c r="C202">
        <f t="shared" si="36"/>
        <v>0.31101767270538977</v>
      </c>
      <c r="D202">
        <f t="shared" si="37"/>
        <v>0.1564344650402183</v>
      </c>
      <c r="E202">
        <f t="shared" si="38"/>
        <v>-0.35836794954531159</v>
      </c>
      <c r="F202">
        <f t="shared" si="39"/>
        <v>-5.6061098474680764E-2</v>
      </c>
      <c r="G202">
        <f t="shared" si="40"/>
        <v>2.4471741852419279E-2</v>
      </c>
      <c r="H202">
        <f t="shared" si="41"/>
        <v>0.12842758726131098</v>
      </c>
      <c r="I202">
        <f t="shared" si="33"/>
        <v>77.805535477594248</v>
      </c>
      <c r="J202">
        <f t="shared" si="34"/>
        <v>0.70824102171560666</v>
      </c>
      <c r="K202">
        <f t="shared" si="32"/>
        <v>0.44974485638402811</v>
      </c>
      <c r="L202">
        <f t="shared" si="35"/>
        <v>55.105071941781233</v>
      </c>
      <c r="M202">
        <f t="shared" si="42"/>
        <v>55.103236595258551</v>
      </c>
      <c r="N202">
        <f t="shared" si="45"/>
        <v>8.1615873192069453E-3</v>
      </c>
    </row>
    <row r="203" spans="1:14" x14ac:dyDescent="0.25">
      <c r="A203">
        <f t="shared" si="43"/>
        <v>199</v>
      </c>
      <c r="B203">
        <f t="shared" si="44"/>
        <v>4.9750000000000037E-2</v>
      </c>
      <c r="C203">
        <f t="shared" si="36"/>
        <v>0.31258846903218462</v>
      </c>
      <c r="D203">
        <f t="shared" si="37"/>
        <v>7.8459095727835368E-2</v>
      </c>
      <c r="E203">
        <f t="shared" si="38"/>
        <v>-0.43051109680830324</v>
      </c>
      <c r="F203">
        <f t="shared" si="39"/>
        <v>-3.3777511356378062E-2</v>
      </c>
      <c r="G203">
        <f t="shared" si="40"/>
        <v>6.1558297024296342E-3</v>
      </c>
      <c r="H203">
        <f t="shared" si="41"/>
        <v>0.18533980447508824</v>
      </c>
      <c r="I203">
        <f t="shared" si="33"/>
        <v>77.78773084003987</v>
      </c>
      <c r="J203">
        <f t="shared" si="34"/>
        <v>0.70874307584338259</v>
      </c>
      <c r="K203">
        <f t="shared" si="32"/>
        <v>0.44802764975975318</v>
      </c>
      <c r="L203">
        <f t="shared" si="35"/>
        <v>55.131515618447011</v>
      </c>
      <c r="M203">
        <f t="shared" si="42"/>
        <v>55.129695134402084</v>
      </c>
      <c r="N203">
        <f t="shared" si="45"/>
        <v>8.126525177730522E-3</v>
      </c>
    </row>
    <row r="204" spans="1:14" x14ac:dyDescent="0.25">
      <c r="A204">
        <f t="shared" si="43"/>
        <v>200</v>
      </c>
      <c r="B204">
        <f t="shared" si="44"/>
        <v>5.0000000000000037E-2</v>
      </c>
      <c r="C204">
        <f t="shared" si="36"/>
        <v>0.31415926535897953</v>
      </c>
      <c r="D204">
        <f t="shared" si="37"/>
        <v>-1.0045566808947193E-14</v>
      </c>
      <c r="E204">
        <f t="shared" si="38"/>
        <v>-0.50000000000000822</v>
      </c>
      <c r="F204">
        <f t="shared" si="39"/>
        <v>5.0227834044736792E-15</v>
      </c>
      <c r="G204">
        <f t="shared" si="40"/>
        <v>1.0091341251302149E-28</v>
      </c>
      <c r="H204">
        <f t="shared" si="41"/>
        <v>0.25000000000000822</v>
      </c>
      <c r="I204">
        <f t="shared" si="33"/>
        <v>77.781745930520216</v>
      </c>
      <c r="J204">
        <f t="shared" si="34"/>
        <v>0.70931304795555539</v>
      </c>
      <c r="K204">
        <f t="shared" si="32"/>
        <v>0.44594072528722462</v>
      </c>
      <c r="L204">
        <f t="shared" si="35"/>
        <v>55.171607281281908</v>
      </c>
      <c r="M204">
        <f t="shared" si="42"/>
        <v>55.169805028380594</v>
      </c>
      <c r="N204">
        <f t="shared" si="45"/>
        <v>8.0827938003270594E-3</v>
      </c>
    </row>
    <row r="205" spans="1:14" x14ac:dyDescent="0.25">
      <c r="A205">
        <f t="shared" si="43"/>
        <v>201</v>
      </c>
      <c r="B205">
        <f t="shared" si="44"/>
        <v>5.0250000000000038E-2</v>
      </c>
      <c r="C205">
        <f t="shared" si="36"/>
        <v>0.31573006168577444</v>
      </c>
      <c r="D205">
        <f t="shared" si="37"/>
        <v>-7.8459095727855394E-2</v>
      </c>
      <c r="E205">
        <f t="shared" si="38"/>
        <v>-0.56640623692484093</v>
      </c>
      <c r="F205">
        <f t="shared" si="39"/>
        <v>4.4439721163740439E-2</v>
      </c>
      <c r="G205">
        <f t="shared" si="40"/>
        <v>6.1558297024327767E-3</v>
      </c>
      <c r="H205">
        <f t="shared" si="41"/>
        <v>0.32081602522735903</v>
      </c>
      <c r="I205">
        <f t="shared" si="33"/>
        <v>77.78773084003987</v>
      </c>
      <c r="J205">
        <f t="shared" si="34"/>
        <v>0.70993675796886446</v>
      </c>
      <c r="K205">
        <f t="shared" si="32"/>
        <v>0.44353546997306115</v>
      </c>
      <c r="L205">
        <f t="shared" si="35"/>
        <v>55.224369442332559</v>
      </c>
      <c r="M205">
        <f t="shared" si="42"/>
        <v>55.222588282242889</v>
      </c>
      <c r="N205">
        <f t="shared" si="45"/>
        <v>8.0315171445500735E-3</v>
      </c>
    </row>
    <row r="206" spans="1:14" x14ac:dyDescent="0.25">
      <c r="A206">
        <f t="shared" si="43"/>
        <v>202</v>
      </c>
      <c r="B206">
        <f t="shared" si="44"/>
        <v>5.0500000000000038E-2</v>
      </c>
      <c r="C206">
        <f t="shared" si="36"/>
        <v>0.31730085801256935</v>
      </c>
      <c r="D206">
        <f t="shared" si="37"/>
        <v>-0.15643446504024167</v>
      </c>
      <c r="E206">
        <f t="shared" si="38"/>
        <v>-0.6293203910498455</v>
      </c>
      <c r="F206">
        <f t="shared" si="39"/>
        <v>9.844739871279827E-2</v>
      </c>
      <c r="G206">
        <f t="shared" si="40"/>
        <v>2.4471741852426593E-2</v>
      </c>
      <c r="H206">
        <f t="shared" si="41"/>
        <v>0.39604415459113046</v>
      </c>
      <c r="I206">
        <f t="shared" si="33"/>
        <v>77.805535477594248</v>
      </c>
      <c r="J206">
        <f t="shared" si="34"/>
        <v>0.71059872778692001</v>
      </c>
      <c r="K206">
        <f t="shared" si="32"/>
        <v>0.44087110918568234</v>
      </c>
      <c r="L206">
        <f t="shared" si="35"/>
        <v>55.28851452515854</v>
      </c>
      <c r="M206">
        <f t="shared" si="42"/>
        <v>55.286756742132667</v>
      </c>
      <c r="N206">
        <f t="shared" si="45"/>
        <v>7.9740089414966631E-3</v>
      </c>
    </row>
    <row r="207" spans="1:14" x14ac:dyDescent="0.25">
      <c r="A207">
        <f t="shared" si="43"/>
        <v>203</v>
      </c>
      <c r="B207">
        <f t="shared" si="44"/>
        <v>5.0750000000000038E-2</v>
      </c>
      <c r="C207">
        <f t="shared" si="36"/>
        <v>0.31887165433936426</v>
      </c>
      <c r="D207">
        <f t="shared" si="37"/>
        <v>-0.23344536385591819</v>
      </c>
      <c r="E207">
        <f t="shared" si="38"/>
        <v>-0.68835457569376435</v>
      </c>
      <c r="F207">
        <f t="shared" si="39"/>
        <v>0.160693184384717</v>
      </c>
      <c r="G207">
        <f t="shared" si="40"/>
        <v>5.4496737905822032E-2</v>
      </c>
      <c r="H207">
        <f t="shared" si="41"/>
        <v>0.47383202187854234</v>
      </c>
      <c r="I207">
        <f t="shared" si="33"/>
        <v>77.834713538422264</v>
      </c>
      <c r="J207">
        <f t="shared" si="34"/>
        <v>0.71128257413877505</v>
      </c>
      <c r="K207">
        <f t="shared" si="32"/>
        <v>0.43801324833018013</v>
      </c>
      <c r="L207">
        <f t="shared" si="35"/>
        <v>55.362475402963149</v>
      </c>
      <c r="M207">
        <f t="shared" si="42"/>
        <v>55.360742653418107</v>
      </c>
      <c r="N207">
        <f t="shared" si="45"/>
        <v>7.9117352528412493E-3</v>
      </c>
    </row>
    <row r="208" spans="1:14" x14ac:dyDescent="0.25">
      <c r="A208">
        <f t="shared" si="43"/>
        <v>204</v>
      </c>
      <c r="B208">
        <f t="shared" si="44"/>
        <v>5.1000000000000038E-2</v>
      </c>
      <c r="C208">
        <f t="shared" si="36"/>
        <v>0.32044245066615912</v>
      </c>
      <c r="D208">
        <f t="shared" si="37"/>
        <v>-0.30901699437495866</v>
      </c>
      <c r="E208">
        <f t="shared" si="38"/>
        <v>-0.74314482547740168</v>
      </c>
      <c r="F208">
        <f t="shared" si="39"/>
        <v>0.22964438035432988</v>
      </c>
      <c r="G208">
        <f t="shared" si="40"/>
        <v>9.5491502812533241E-2</v>
      </c>
      <c r="H208">
        <f t="shared" si="41"/>
        <v>0.55226423163383775</v>
      </c>
      <c r="I208">
        <f t="shared" si="33"/>
        <v>77.874534283040134</v>
      </c>
      <c r="J208">
        <f t="shared" si="34"/>
        <v>0.71197141999902158</v>
      </c>
      <c r="K208">
        <f t="shared" si="32"/>
        <v>0.43503225742551305</v>
      </c>
      <c r="L208">
        <f t="shared" si="35"/>
        <v>55.444442755258571</v>
      </c>
      <c r="M208">
        <f t="shared" si="42"/>
        <v>55.442736037971144</v>
      </c>
      <c r="N208">
        <f t="shared" si="45"/>
        <v>7.8462734190660223E-3</v>
      </c>
    </row>
    <row r="209" spans="1:14" x14ac:dyDescent="0.25">
      <c r="A209">
        <f t="shared" si="43"/>
        <v>205</v>
      </c>
      <c r="B209">
        <f t="shared" si="44"/>
        <v>5.1250000000000039E-2</v>
      </c>
      <c r="C209">
        <f t="shared" si="36"/>
        <v>0.32201324699295403</v>
      </c>
      <c r="D209">
        <f t="shared" si="37"/>
        <v>-0.38268343236510111</v>
      </c>
      <c r="E209">
        <f t="shared" si="38"/>
        <v>-0.79335334029124227</v>
      </c>
      <c r="F209">
        <f t="shared" si="39"/>
        <v>0.30360317934097064</v>
      </c>
      <c r="G209">
        <f t="shared" si="40"/>
        <v>0.1464466094067349</v>
      </c>
      <c r="H209">
        <f t="shared" si="41"/>
        <v>0.62940952255127169</v>
      </c>
      <c r="I209">
        <f t="shared" si="33"/>
        <v>77.924001756023586</v>
      </c>
      <c r="J209">
        <f t="shared" si="34"/>
        <v>0.71264831370872617</v>
      </c>
      <c r="K209">
        <f t="shared" ref="K209:K272" si="46">AVERAGE(F133:F209)</f>
        <v>0.43200153836109567</v>
      </c>
      <c r="L209">
        <f t="shared" si="35"/>
        <v>55.532408448866022</v>
      </c>
      <c r="M209">
        <f t="shared" si="42"/>
        <v>55.530728095375629</v>
      </c>
      <c r="N209">
        <f t="shared" si="45"/>
        <v>7.7792689067120264E-3</v>
      </c>
    </row>
    <row r="210" spans="1:14" x14ac:dyDescent="0.25">
      <c r="A210">
        <f t="shared" si="43"/>
        <v>206</v>
      </c>
      <c r="B210">
        <f t="shared" si="44"/>
        <v>5.1500000000000039E-2</v>
      </c>
      <c r="C210">
        <f t="shared" si="36"/>
        <v>0.32358404331974894</v>
      </c>
      <c r="D210">
        <f t="shared" si="37"/>
        <v>-0.45399049973955807</v>
      </c>
      <c r="E210">
        <f t="shared" si="38"/>
        <v>-0.8386705679454306</v>
      </c>
      <c r="F210">
        <f t="shared" si="39"/>
        <v>0.38074847025840503</v>
      </c>
      <c r="G210">
        <f t="shared" si="40"/>
        <v>0.20610737385377367</v>
      </c>
      <c r="H210">
        <f t="shared" si="41"/>
        <v>0.70336832153791118</v>
      </c>
      <c r="I210">
        <f t="shared" si="33"/>
        <v>77.981880846100282</v>
      </c>
      <c r="J210">
        <f t="shared" si="34"/>
        <v>0.7132966451759214</v>
      </c>
      <c r="K210">
        <f t="shared" si="46"/>
        <v>0.42899571749867371</v>
      </c>
      <c r="L210">
        <f t="shared" si="35"/>
        <v>55.624213992031777</v>
      </c>
      <c r="M210">
        <f t="shared" si="42"/>
        <v>55.62255967595982</v>
      </c>
      <c r="N210">
        <f t="shared" si="45"/>
        <v>7.7123915415708661E-3</v>
      </c>
    </row>
    <row r="211" spans="1:14" x14ac:dyDescent="0.25">
      <c r="A211">
        <f t="shared" si="43"/>
        <v>207</v>
      </c>
      <c r="B211">
        <f t="shared" si="44"/>
        <v>5.1750000000000039E-2</v>
      </c>
      <c r="C211">
        <f t="shared" si="36"/>
        <v>0.32515483964654385</v>
      </c>
      <c r="D211">
        <f t="shared" si="37"/>
        <v>-0.52249856471596001</v>
      </c>
      <c r="E211">
        <f t="shared" si="38"/>
        <v>-0.87881711266197138</v>
      </c>
      <c r="F211">
        <f t="shared" si="39"/>
        <v>0.45918068001370416</v>
      </c>
      <c r="G211">
        <f t="shared" si="40"/>
        <v>0.27300475013023823</v>
      </c>
      <c r="H211">
        <f t="shared" si="41"/>
        <v>0.77231951750752414</v>
      </c>
      <c r="I211">
        <f t="shared" si="33"/>
        <v>78.046729389880255</v>
      </c>
      <c r="J211">
        <f t="shared" si="34"/>
        <v>0.7139005490744802</v>
      </c>
      <c r="K211">
        <f t="shared" si="46"/>
        <v>0.42608880812362804</v>
      </c>
      <c r="L211">
        <f t="shared" si="35"/>
        <v>55.717602964902888</v>
      </c>
      <c r="M211">
        <f t="shared" si="42"/>
        <v>55.715973728206052</v>
      </c>
      <c r="N211">
        <f t="shared" si="45"/>
        <v>7.6472925152940609E-3</v>
      </c>
    </row>
    <row r="212" spans="1:14" x14ac:dyDescent="0.25">
      <c r="A212">
        <f t="shared" si="43"/>
        <v>208</v>
      </c>
      <c r="B212">
        <f t="shared" si="44"/>
        <v>5.2000000000000039E-2</v>
      </c>
      <c r="C212">
        <f t="shared" si="36"/>
        <v>0.32672563597333876</v>
      </c>
      <c r="D212">
        <f t="shared" si="37"/>
        <v>-0.58778525229248413</v>
      </c>
      <c r="E212">
        <f t="shared" si="38"/>
        <v>-0.9135454576426062</v>
      </c>
      <c r="F212">
        <f t="shared" si="39"/>
        <v>0.53696854730111221</v>
      </c>
      <c r="G212">
        <f t="shared" si="40"/>
        <v>0.34549150281253921</v>
      </c>
      <c r="H212">
        <f t="shared" si="41"/>
        <v>0.83456530317943878</v>
      </c>
      <c r="I212">
        <f t="shared" si="33"/>
        <v>78.11693535847651</v>
      </c>
      <c r="J212">
        <f t="shared" si="34"/>
        <v>0.71444528572154731</v>
      </c>
      <c r="K212">
        <f t="shared" si="46"/>
        <v>0.423352387992251</v>
      </c>
      <c r="L212">
        <f t="shared" si="35"/>
        <v>55.810276201878395</v>
      </c>
      <c r="M212">
        <f t="shared" si="42"/>
        <v>55.80867049559177</v>
      </c>
      <c r="N212">
        <f t="shared" si="45"/>
        <v>7.5855633908868255E-3</v>
      </c>
    </row>
    <row r="213" spans="1:14" x14ac:dyDescent="0.25">
      <c r="A213">
        <f t="shared" si="43"/>
        <v>209</v>
      </c>
      <c r="B213">
        <f t="shared" si="44"/>
        <v>5.2250000000000039E-2</v>
      </c>
      <c r="C213">
        <f t="shared" si="36"/>
        <v>0.32829643230013361</v>
      </c>
      <c r="D213">
        <f t="shared" si="37"/>
        <v>-0.64944804833019165</v>
      </c>
      <c r="E213">
        <f t="shared" si="38"/>
        <v>-0.94264149109218165</v>
      </c>
      <c r="F213">
        <f t="shared" si="39"/>
        <v>0.61219667666487909</v>
      </c>
      <c r="G213">
        <f t="shared" si="40"/>
        <v>0.42178276747989496</v>
      </c>
      <c r="H213">
        <f t="shared" si="41"/>
        <v>0.88857298072849156</v>
      </c>
      <c r="I213">
        <f t="shared" ref="I213:I276" si="47">SQRT(SUM(G133:G213)/80)</f>
        <v>78.190758044549852</v>
      </c>
      <c r="J213">
        <f t="shared" ref="J213:J276" si="48">SQRT(SUM(H133:H213)/80)</f>
        <v>0.71491759123629528</v>
      </c>
      <c r="K213">
        <f t="shared" si="46"/>
        <v>0.42085383684983491</v>
      </c>
      <c r="L213">
        <f t="shared" ref="L213:L276" si="49">I213*J213</f>
        <v>55.899948398149562</v>
      </c>
      <c r="M213">
        <f t="shared" si="42"/>
        <v>55.898364134952935</v>
      </c>
      <c r="N213">
        <f t="shared" si="45"/>
        <v>7.5286981278101916E-3</v>
      </c>
    </row>
    <row r="214" spans="1:14" x14ac:dyDescent="0.25">
      <c r="A214">
        <f t="shared" si="43"/>
        <v>210</v>
      </c>
      <c r="B214">
        <f t="shared" si="44"/>
        <v>5.250000000000004E-2</v>
      </c>
      <c r="C214">
        <f t="shared" si="36"/>
        <v>0.32986722862692852</v>
      </c>
      <c r="D214">
        <f t="shared" si="37"/>
        <v>-0.70710678118655523</v>
      </c>
      <c r="E214">
        <f t="shared" si="38"/>
        <v>-0.96592582628907098</v>
      </c>
      <c r="F214">
        <f t="shared" si="39"/>
        <v>0.68301270189222862</v>
      </c>
      <c r="G214">
        <f t="shared" si="40"/>
        <v>0.50000000000001088</v>
      </c>
      <c r="H214">
        <f t="shared" si="41"/>
        <v>0.93301270189222452</v>
      </c>
      <c r="I214">
        <f t="shared" si="47"/>
        <v>78.266372089167405</v>
      </c>
      <c r="J214">
        <f t="shared" si="48"/>
        <v>0.71530598961119651</v>
      </c>
      <c r="K214">
        <f t="shared" si="46"/>
        <v>0.41865467731772188</v>
      </c>
      <c r="L214">
        <f t="shared" si="49"/>
        <v>55.98440474052002</v>
      </c>
      <c r="M214">
        <f t="shared" si="42"/>
        <v>55.982839356462804</v>
      </c>
      <c r="N214">
        <f t="shared" si="45"/>
        <v>7.4780589211965089E-3</v>
      </c>
    </row>
    <row r="215" spans="1:14" x14ac:dyDescent="0.25">
      <c r="A215">
        <f t="shared" si="43"/>
        <v>211</v>
      </c>
      <c r="B215">
        <f t="shared" si="44"/>
        <v>5.275000000000004E-2</v>
      </c>
      <c r="C215">
        <f t="shared" si="36"/>
        <v>0.33143802495372343</v>
      </c>
      <c r="D215">
        <f t="shared" si="37"/>
        <v>-0.76040596560003826</v>
      </c>
      <c r="E215">
        <f t="shared" si="38"/>
        <v>-0.9832549075639565</v>
      </c>
      <c r="F215">
        <f t="shared" si="39"/>
        <v>0.74767289741714671</v>
      </c>
      <c r="G215">
        <f t="shared" si="40"/>
        <v>0.57821723252012658</v>
      </c>
      <c r="H215">
        <f t="shared" si="41"/>
        <v>0.9667902132486047</v>
      </c>
      <c r="I215">
        <f t="shared" si="47"/>
        <v>78.341913152658407</v>
      </c>
      <c r="J215">
        <f t="shared" si="48"/>
        <v>0.71560106041397686</v>
      </c>
      <c r="K215">
        <f t="shared" si="46"/>
        <v>0.41680906000218448</v>
      </c>
      <c r="L215">
        <f t="shared" si="49"/>
        <v>56.06155612690204</v>
      </c>
      <c r="M215">
        <f t="shared" si="42"/>
        <v>56.060006649814873</v>
      </c>
      <c r="N215">
        <f t="shared" si="45"/>
        <v>7.4348464223627205E-3</v>
      </c>
    </row>
    <row r="216" spans="1:14" x14ac:dyDescent="0.25">
      <c r="A216">
        <f t="shared" si="43"/>
        <v>212</v>
      </c>
      <c r="B216">
        <f t="shared" si="44"/>
        <v>5.300000000000004E-2</v>
      </c>
      <c r="C216">
        <f t="shared" si="36"/>
        <v>0.33300882128051834</v>
      </c>
      <c r="D216">
        <f t="shared" si="37"/>
        <v>-0.80901699437495433</v>
      </c>
      <c r="E216">
        <f t="shared" si="38"/>
        <v>-0.99452189536827451</v>
      </c>
      <c r="F216">
        <f t="shared" si="39"/>
        <v>0.8045851146309243</v>
      </c>
      <c r="G216">
        <f t="shared" si="40"/>
        <v>0.65450849718748494</v>
      </c>
      <c r="H216">
        <f t="shared" si="41"/>
        <v>0.98907380036690518</v>
      </c>
      <c r="I216">
        <f t="shared" si="47"/>
        <v>78.415524038289831</v>
      </c>
      <c r="J216">
        <f t="shared" si="48"/>
        <v>0.71579565694727887</v>
      </c>
      <c r="K216">
        <f t="shared" si="46"/>
        <v>0.41536243012678414</v>
      </c>
      <c r="L216">
        <f t="shared" si="49"/>
        <v>56.129491543852808</v>
      </c>
      <c r="M216">
        <f t="shared" si="42"/>
        <v>56.127954666307616</v>
      </c>
      <c r="N216">
        <f t="shared" si="45"/>
        <v>7.4000746969580169E-3</v>
      </c>
    </row>
    <row r="217" spans="1:14" x14ac:dyDescent="0.25">
      <c r="A217">
        <f t="shared" si="43"/>
        <v>213</v>
      </c>
      <c r="B217">
        <f t="shared" si="44"/>
        <v>5.325000000000004E-2</v>
      </c>
      <c r="C217">
        <f t="shared" si="36"/>
        <v>0.3345796176073132</v>
      </c>
      <c r="D217">
        <f t="shared" si="37"/>
        <v>-0.85264016435409862</v>
      </c>
      <c r="E217">
        <f t="shared" si="38"/>
        <v>-0.99965732497555759</v>
      </c>
      <c r="F217">
        <f t="shared" si="39"/>
        <v>0.85234798586493798</v>
      </c>
      <c r="G217">
        <f t="shared" si="40"/>
        <v>0.72699524986978425</v>
      </c>
      <c r="H217">
        <f t="shared" si="41"/>
        <v>0.99931476737728753</v>
      </c>
      <c r="I217">
        <f t="shared" si="47"/>
        <v>78.485400117109734</v>
      </c>
      <c r="J217">
        <f t="shared" si="48"/>
        <v>0.71588507079853003</v>
      </c>
      <c r="K217">
        <f t="shared" si="46"/>
        <v>0.41435040852014232</v>
      </c>
      <c r="L217">
        <f t="shared" si="49"/>
        <v>56.186526219488059</v>
      </c>
      <c r="M217">
        <f t="shared" si="42"/>
        <v>56.184998374585525</v>
      </c>
      <c r="N217">
        <f t="shared" si="45"/>
        <v>7.3745510961385373E-3</v>
      </c>
    </row>
    <row r="218" spans="1:14" x14ac:dyDescent="0.25">
      <c r="A218">
        <f t="shared" si="43"/>
        <v>214</v>
      </c>
      <c r="B218">
        <f t="shared" si="44"/>
        <v>5.3500000000000041E-2</v>
      </c>
      <c r="C218">
        <f t="shared" si="36"/>
        <v>0.33615041393410811</v>
      </c>
      <c r="D218">
        <f t="shared" si="37"/>
        <v>-0.89100652418837356</v>
      </c>
      <c r="E218">
        <f t="shared" si="38"/>
        <v>-0.99862953475457328</v>
      </c>
      <c r="F218">
        <f t="shared" si="39"/>
        <v>0.88978543071352489</v>
      </c>
      <c r="G218">
        <f t="shared" si="40"/>
        <v>0.79389262614624667</v>
      </c>
      <c r="H218">
        <f t="shared" si="41"/>
        <v>0.99726094768413542</v>
      </c>
      <c r="I218">
        <f t="shared" si="47"/>
        <v>78.549832970571131</v>
      </c>
      <c r="J218">
        <f t="shared" si="48"/>
        <v>0.71586713980043248</v>
      </c>
      <c r="K218">
        <f t="shared" si="46"/>
        <v>0.41379791451292175</v>
      </c>
      <c r="L218">
        <f t="shared" si="49"/>
        <v>56.231244260444463</v>
      </c>
      <c r="M218">
        <f t="shared" si="42"/>
        <v>56.229721699148691</v>
      </c>
      <c r="N218">
        <f t="shared" si="45"/>
        <v>7.3588610736825795E-3</v>
      </c>
    </row>
    <row r="219" spans="1:14" x14ac:dyDescent="0.25">
      <c r="A219">
        <f t="shared" si="43"/>
        <v>215</v>
      </c>
      <c r="B219">
        <f t="shared" si="44"/>
        <v>5.3750000000000041E-2</v>
      </c>
      <c r="C219">
        <f t="shared" si="36"/>
        <v>0.33772121026090302</v>
      </c>
      <c r="D219">
        <f t="shared" si="37"/>
        <v>-0.92387953251129173</v>
      </c>
      <c r="E219">
        <f t="shared" si="38"/>
        <v>-0.99144486137380883</v>
      </c>
      <c r="F219">
        <f t="shared" si="39"/>
        <v>0.91597561503675695</v>
      </c>
      <c r="G219">
        <f t="shared" si="40"/>
        <v>0.85355339059328295</v>
      </c>
      <c r="H219">
        <f t="shared" si="41"/>
        <v>0.98296291314453099</v>
      </c>
      <c r="I219">
        <f t="shared" si="47"/>
        <v>78.607251257929363</v>
      </c>
      <c r="J219">
        <f t="shared" si="48"/>
        <v>0.71574229748863305</v>
      </c>
      <c r="K219">
        <f t="shared" si="46"/>
        <v>0.41371855234120275</v>
      </c>
      <c r="L219">
        <f t="shared" si="49"/>
        <v>56.262534614616605</v>
      </c>
      <c r="M219">
        <f t="shared" si="42"/>
        <v>56.261013483764941</v>
      </c>
      <c r="N219">
        <f t="shared" si="45"/>
        <v>7.3533578814936936E-3</v>
      </c>
    </row>
    <row r="220" spans="1:14" x14ac:dyDescent="0.25">
      <c r="A220">
        <f t="shared" si="43"/>
        <v>216</v>
      </c>
      <c r="B220">
        <f t="shared" si="44"/>
        <v>5.4000000000000041E-2</v>
      </c>
      <c r="C220">
        <f t="shared" si="36"/>
        <v>0.33929200658769793</v>
      </c>
      <c r="D220">
        <f t="shared" si="37"/>
        <v>-0.95105651629515775</v>
      </c>
      <c r="E220">
        <f t="shared" si="38"/>
        <v>-0.97814760073380291</v>
      </c>
      <c r="F220">
        <f t="shared" si="39"/>
        <v>0.9302736495763575</v>
      </c>
      <c r="G220">
        <f t="shared" si="40"/>
        <v>0.90450849718748161</v>
      </c>
      <c r="H220">
        <f t="shared" si="41"/>
        <v>0.95677272882129516</v>
      </c>
      <c r="I220">
        <f t="shared" si="47"/>
        <v>78.656257921411509</v>
      </c>
      <c r="J220">
        <f t="shared" si="48"/>
        <v>0.71551356319098969</v>
      </c>
      <c r="K220">
        <f t="shared" si="46"/>
        <v>0.41411427616504093</v>
      </c>
      <c r="L220">
        <f t="shared" si="49"/>
        <v>56.279619372618654</v>
      </c>
      <c r="M220">
        <f t="shared" si="42"/>
        <v>56.278095793062413</v>
      </c>
      <c r="N220">
        <f t="shared" si="45"/>
        <v>7.3581570163659847E-3</v>
      </c>
    </row>
    <row r="221" spans="1:14" x14ac:dyDescent="0.25">
      <c r="A221">
        <f t="shared" si="43"/>
        <v>217</v>
      </c>
      <c r="B221">
        <f t="shared" si="44"/>
        <v>5.4250000000000041E-2</v>
      </c>
      <c r="C221">
        <f t="shared" si="36"/>
        <v>0.34086280291449284</v>
      </c>
      <c r="D221">
        <f t="shared" si="37"/>
        <v>-0.97236992039767989</v>
      </c>
      <c r="E221">
        <f t="shared" si="38"/>
        <v>-0.95881973486818928</v>
      </c>
      <c r="F221">
        <f t="shared" si="39"/>
        <v>0.93232746926950572</v>
      </c>
      <c r="G221">
        <f t="shared" si="40"/>
        <v>0.94550326209419033</v>
      </c>
      <c r="H221">
        <f t="shared" si="41"/>
        <v>0.91933528397270481</v>
      </c>
      <c r="I221">
        <f t="shared" si="47"/>
        <v>78.695662957953104</v>
      </c>
      <c r="J221">
        <f t="shared" si="48"/>
        <v>0.71518647292133475</v>
      </c>
      <c r="K221">
        <f t="shared" si="46"/>
        <v>0.41497534195056129</v>
      </c>
      <c r="L221">
        <f t="shared" si="49"/>
        <v>56.282073625104616</v>
      </c>
      <c r="M221">
        <f t="shared" si="42"/>
        <v>56.280543769648048</v>
      </c>
      <c r="N221">
        <f t="shared" si="45"/>
        <v>7.3731352670961571E-3</v>
      </c>
    </row>
    <row r="222" spans="1:14" x14ac:dyDescent="0.25">
      <c r="A222">
        <f t="shared" si="43"/>
        <v>218</v>
      </c>
      <c r="B222">
        <f t="shared" si="44"/>
        <v>5.4500000000000041E-2</v>
      </c>
      <c r="C222">
        <f t="shared" si="36"/>
        <v>0.34243359924128769</v>
      </c>
      <c r="D222">
        <f t="shared" si="37"/>
        <v>-0.98768834059513944</v>
      </c>
      <c r="E222">
        <f t="shared" si="38"/>
        <v>-0.93358042649719808</v>
      </c>
      <c r="F222">
        <f t="shared" si="39"/>
        <v>0.92208650225912014</v>
      </c>
      <c r="G222">
        <f t="shared" si="40"/>
        <v>0.97552825814758015</v>
      </c>
      <c r="H222">
        <f t="shared" si="41"/>
        <v>0.87157241273869024</v>
      </c>
      <c r="I222">
        <f t="shared" si="47"/>
        <v>78.724511107055008</v>
      </c>
      <c r="J222">
        <f t="shared" si="48"/>
        <v>0.71476895229104198</v>
      </c>
      <c r="K222">
        <f t="shared" si="46"/>
        <v>0.41628054740041093</v>
      </c>
      <c r="L222">
        <f t="shared" si="49"/>
        <v>56.269836323614207</v>
      </c>
      <c r="M222">
        <f t="shared" si="42"/>
        <v>56.268296494493143</v>
      </c>
      <c r="N222">
        <f t="shared" si="45"/>
        <v>7.39793421481332E-3</v>
      </c>
    </row>
    <row r="223" spans="1:14" x14ac:dyDescent="0.25">
      <c r="A223">
        <f t="shared" si="43"/>
        <v>219</v>
      </c>
      <c r="B223">
        <f t="shared" si="44"/>
        <v>5.4750000000000042E-2</v>
      </c>
      <c r="C223">
        <f t="shared" si="36"/>
        <v>0.3440043955680826</v>
      </c>
      <c r="D223">
        <f t="shared" si="37"/>
        <v>-0.99691733373312885</v>
      </c>
      <c r="E223">
        <f t="shared" si="38"/>
        <v>-0.90258528434985597</v>
      </c>
      <c r="F223">
        <f t="shared" si="39"/>
        <v>0.89980291514081634</v>
      </c>
      <c r="G223">
        <f t="shared" si="40"/>
        <v>0.99384417029757066</v>
      </c>
      <c r="H223">
        <f t="shared" si="41"/>
        <v>0.81466019552491031</v>
      </c>
      <c r="I223">
        <f t="shared" si="47"/>
        <v>78.742103926409754</v>
      </c>
      <c r="J223">
        <f t="shared" si="48"/>
        <v>0.71427113370488482</v>
      </c>
      <c r="K223">
        <f t="shared" si="46"/>
        <v>0.41799775402468592</v>
      </c>
      <c r="L223">
        <f t="shared" si="49"/>
        <v>56.243211841824561</v>
      </c>
      <c r="M223">
        <f t="shared" si="42"/>
        <v>56.241658547396916</v>
      </c>
      <c r="N223">
        <f t="shared" si="45"/>
        <v>7.4319680604343994E-3</v>
      </c>
    </row>
    <row r="224" spans="1:14" x14ac:dyDescent="0.25">
      <c r="A224">
        <f t="shared" si="43"/>
        <v>220</v>
      </c>
      <c r="B224">
        <f t="shared" si="44"/>
        <v>5.5000000000000042E-2</v>
      </c>
      <c r="C224">
        <f t="shared" si="36"/>
        <v>0.34557519189487751</v>
      </c>
      <c r="D224">
        <f t="shared" si="37"/>
        <v>-1</v>
      </c>
      <c r="E224">
        <f t="shared" si="38"/>
        <v>-0.86602540378443305</v>
      </c>
      <c r="F224">
        <f t="shared" si="39"/>
        <v>0.86602540378443305</v>
      </c>
      <c r="G224">
        <f t="shared" si="40"/>
        <v>1</v>
      </c>
      <c r="H224">
        <f t="shared" si="41"/>
        <v>0.74999999999999034</v>
      </c>
      <c r="I224">
        <f t="shared" si="47"/>
        <v>78.748015848019989</v>
      </c>
      <c r="J224">
        <f t="shared" si="48"/>
        <v>0.71370512118100993</v>
      </c>
      <c r="K224">
        <f t="shared" si="46"/>
        <v>0.42008467849721459</v>
      </c>
      <c r="L224">
        <f t="shared" si="49"/>
        <v>56.2028621935752</v>
      </c>
      <c r="M224">
        <f t="shared" si="42"/>
        <v>56.201292223692654</v>
      </c>
      <c r="N224">
        <f t="shared" si="45"/>
        <v>7.4744356799899122E-3</v>
      </c>
    </row>
    <row r="225" spans="1:14" x14ac:dyDescent="0.25">
      <c r="A225">
        <f t="shared" si="43"/>
        <v>221</v>
      </c>
      <c r="B225">
        <f t="shared" si="44"/>
        <v>5.5250000000000042E-2</v>
      </c>
      <c r="C225">
        <f t="shared" si="36"/>
        <v>0.34714598822167242</v>
      </c>
      <c r="D225">
        <f t="shared" si="37"/>
        <v>-0.99691733373312696</v>
      </c>
      <c r="E225">
        <f t="shared" si="38"/>
        <v>-0.82412618862200915</v>
      </c>
      <c r="F225">
        <f t="shared" si="39"/>
        <v>0.82158568262069742</v>
      </c>
      <c r="G225">
        <f t="shared" si="40"/>
        <v>0.99384417029756689</v>
      </c>
      <c r="H225">
        <f t="shared" si="41"/>
        <v>0.67918397477263937</v>
      </c>
      <c r="I225">
        <f t="shared" si="47"/>
        <v>78.74210392640974</v>
      </c>
      <c r="J225">
        <f t="shared" si="48"/>
        <v>0.71308470722955353</v>
      </c>
      <c r="K225">
        <f t="shared" si="46"/>
        <v>0.42248993381137806</v>
      </c>
      <c r="L225">
        <f t="shared" si="49"/>
        <v>56.149790125002966</v>
      </c>
      <c r="M225">
        <f t="shared" si="42"/>
        <v>56.148200624220443</v>
      </c>
      <c r="N225">
        <f t="shared" si="45"/>
        <v>7.5243368295912355E-3</v>
      </c>
    </row>
    <row r="226" spans="1:14" x14ac:dyDescent="0.25">
      <c r="A226">
        <f t="shared" si="43"/>
        <v>222</v>
      </c>
      <c r="B226">
        <f t="shared" si="44"/>
        <v>5.5500000000000042E-2</v>
      </c>
      <c r="C226">
        <f t="shared" si="36"/>
        <v>0.34871678454846733</v>
      </c>
      <c r="D226">
        <f t="shared" si="37"/>
        <v>-0.98768834059513577</v>
      </c>
      <c r="E226">
        <f t="shared" si="38"/>
        <v>-0.77714596145696335</v>
      </c>
      <c r="F226">
        <f t="shared" si="39"/>
        <v>0.76757800507163942</v>
      </c>
      <c r="G226">
        <f t="shared" si="40"/>
        <v>0.97552825814757294</v>
      </c>
      <c r="H226">
        <f t="shared" si="41"/>
        <v>0.60395584540886793</v>
      </c>
      <c r="I226">
        <f t="shared" si="47"/>
        <v>78.724511107054994</v>
      </c>
      <c r="J226">
        <f t="shared" si="48"/>
        <v>0.71242504733312884</v>
      </c>
      <c r="K226">
        <f t="shared" si="46"/>
        <v>0.42515429459875675</v>
      </c>
      <c r="L226">
        <f t="shared" si="49"/>
        <v>56.085313551721079</v>
      </c>
      <c r="M226">
        <f t="shared" si="42"/>
        <v>56.083702089115448</v>
      </c>
      <c r="N226">
        <f t="shared" si="45"/>
        <v>7.580492426180082E-3</v>
      </c>
    </row>
    <row r="227" spans="1:14" x14ac:dyDescent="0.25">
      <c r="A227">
        <f t="shared" si="43"/>
        <v>223</v>
      </c>
      <c r="B227">
        <f t="shared" si="44"/>
        <v>5.5750000000000043E-2</v>
      </c>
      <c r="C227">
        <f t="shared" si="36"/>
        <v>0.35028758087526218</v>
      </c>
      <c r="D227">
        <f t="shared" si="37"/>
        <v>-0.97236992039767356</v>
      </c>
      <c r="E227">
        <f t="shared" si="38"/>
        <v>-0.72537437101227908</v>
      </c>
      <c r="F227">
        <f t="shared" si="39"/>
        <v>0.70533221939972235</v>
      </c>
      <c r="G227">
        <f t="shared" si="40"/>
        <v>0.94550326209417801</v>
      </c>
      <c r="H227">
        <f t="shared" si="41"/>
        <v>0.52616797812145955</v>
      </c>
      <c r="I227">
        <f t="shared" si="47"/>
        <v>78.69566295795309</v>
      </c>
      <c r="J227">
        <f t="shared" si="48"/>
        <v>0.71174229867735017</v>
      </c>
      <c r="K227">
        <f t="shared" si="46"/>
        <v>0.42801215545425914</v>
      </c>
      <c r="L227">
        <f t="shared" si="49"/>
        <v>56.011032049631531</v>
      </c>
      <c r="M227">
        <f t="shared" si="42"/>
        <v>56.009396683589031</v>
      </c>
      <c r="N227">
        <f t="shared" si="45"/>
        <v>7.641568808712476E-3</v>
      </c>
    </row>
    <row r="228" spans="1:14" x14ac:dyDescent="0.25">
      <c r="A228">
        <f t="shared" si="43"/>
        <v>224</v>
      </c>
      <c r="B228">
        <f t="shared" si="44"/>
        <v>5.6000000000000043E-2</v>
      </c>
      <c r="C228">
        <f t="shared" si="36"/>
        <v>0.35185837720205709</v>
      </c>
      <c r="D228">
        <f t="shared" si="37"/>
        <v>-0.95105651629514942</v>
      </c>
      <c r="E228">
        <f t="shared" si="38"/>
        <v>-0.66913060635884858</v>
      </c>
      <c r="F228">
        <f t="shared" si="39"/>
        <v>0.6363810234301075</v>
      </c>
      <c r="G228">
        <f t="shared" si="40"/>
        <v>0.90450849718746584</v>
      </c>
      <c r="H228">
        <f t="shared" si="41"/>
        <v>0.44773576836616036</v>
      </c>
      <c r="I228">
        <f t="shared" si="47"/>
        <v>78.656257921411509</v>
      </c>
      <c r="J228">
        <f t="shared" si="48"/>
        <v>0.71105323085165506</v>
      </c>
      <c r="K228">
        <f t="shared" si="46"/>
        <v>0.43099314635892622</v>
      </c>
      <c r="L228">
        <f t="shared" si="49"/>
        <v>55.928786321720743</v>
      </c>
      <c r="M228">
        <f t="shared" si="42"/>
        <v>55.927125657667133</v>
      </c>
      <c r="N228">
        <f t="shared" si="45"/>
        <v>7.7061058303627781E-3</v>
      </c>
    </row>
    <row r="229" spans="1:14" x14ac:dyDescent="0.25">
      <c r="A229">
        <f t="shared" si="43"/>
        <v>225</v>
      </c>
      <c r="B229">
        <f t="shared" si="44"/>
        <v>5.6250000000000043E-2</v>
      </c>
      <c r="C229">
        <f t="shared" si="36"/>
        <v>0.353429173528852</v>
      </c>
      <c r="D229">
        <f t="shared" si="37"/>
        <v>-0.92387953251128141</v>
      </c>
      <c r="E229">
        <f t="shared" si="38"/>
        <v>-0.60876142900871</v>
      </c>
      <c r="F229">
        <f t="shared" si="39"/>
        <v>0.56242222444346657</v>
      </c>
      <c r="G229">
        <f t="shared" si="40"/>
        <v>0.85355339059326385</v>
      </c>
      <c r="H229">
        <f t="shared" si="41"/>
        <v>0.37059047744872664</v>
      </c>
      <c r="I229">
        <f t="shared" si="47"/>
        <v>78.607251257929349</v>
      </c>
      <c r="J229">
        <f t="shared" si="48"/>
        <v>0.71037481723953944</v>
      </c>
      <c r="K229">
        <f t="shared" si="46"/>
        <v>0.43402386542334354</v>
      </c>
      <c r="L229">
        <f t="shared" si="49"/>
        <v>55.840611746054115</v>
      </c>
      <c r="M229">
        <f t="shared" si="42"/>
        <v>55.838924984797117</v>
      </c>
      <c r="N229">
        <f t="shared" si="45"/>
        <v>7.7725485422178086E-3</v>
      </c>
    </row>
    <row r="230" spans="1:14" x14ac:dyDescent="0.25">
      <c r="A230">
        <f t="shared" si="43"/>
        <v>226</v>
      </c>
      <c r="B230">
        <f t="shared" si="44"/>
        <v>5.6500000000000043E-2</v>
      </c>
      <c r="C230">
        <f t="shared" si="36"/>
        <v>0.35499996985564691</v>
      </c>
      <c r="D230">
        <f t="shared" si="37"/>
        <v>-0.89100652418836135</v>
      </c>
      <c r="E230">
        <f t="shared" si="38"/>
        <v>-0.54463903501501554</v>
      </c>
      <c r="F230">
        <f t="shared" si="39"/>
        <v>0.48527693352603224</v>
      </c>
      <c r="G230">
        <f t="shared" si="40"/>
        <v>0.79389262614622491</v>
      </c>
      <c r="H230">
        <f t="shared" si="41"/>
        <v>0.29663167846208732</v>
      </c>
      <c r="I230">
        <f t="shared" si="47"/>
        <v>78.549832970571103</v>
      </c>
      <c r="J230">
        <f t="shared" si="48"/>
        <v>0.7097238166926455</v>
      </c>
      <c r="K230">
        <f t="shared" si="46"/>
        <v>0.43702968628576511</v>
      </c>
      <c r="L230">
        <f t="shared" si="49"/>
        <v>55.748687256443525</v>
      </c>
      <c r="M230">
        <f t="shared" si="42"/>
        <v>55.746974230625767</v>
      </c>
      <c r="N230">
        <f t="shared" si="45"/>
        <v>7.8392821031898381E-3</v>
      </c>
    </row>
    <row r="231" spans="1:14" x14ac:dyDescent="0.25">
      <c r="A231">
        <f t="shared" si="43"/>
        <v>227</v>
      </c>
      <c r="B231">
        <f t="shared" si="44"/>
        <v>5.6750000000000043E-2</v>
      </c>
      <c r="C231">
        <f t="shared" si="36"/>
        <v>0.35657076618244177</v>
      </c>
      <c r="D231">
        <f t="shared" si="37"/>
        <v>-0.85264016435408629</v>
      </c>
      <c r="E231">
        <f t="shared" si="38"/>
        <v>-0.47715876025959902</v>
      </c>
      <c r="F231">
        <f t="shared" si="39"/>
        <v>0.40684472377073655</v>
      </c>
      <c r="G231">
        <f t="shared" si="40"/>
        <v>0.72699524986976327</v>
      </c>
      <c r="H231">
        <f t="shared" si="41"/>
        <v>0.22768048249247749</v>
      </c>
      <c r="I231">
        <f t="shared" si="47"/>
        <v>78.485400117109705</v>
      </c>
      <c r="J231">
        <f t="shared" si="48"/>
        <v>0.70911635577749565</v>
      </c>
      <c r="K231">
        <f t="shared" si="46"/>
        <v>0.43993659566081095</v>
      </c>
      <c r="L231">
        <f t="shared" si="49"/>
        <v>55.655280912783468</v>
      </c>
      <c r="M231">
        <f t="shared" si="42"/>
        <v>55.653542108949708</v>
      </c>
      <c r="N231">
        <f t="shared" si="45"/>
        <v>7.9046693942705776E-3</v>
      </c>
    </row>
    <row r="232" spans="1:14" x14ac:dyDescent="0.25">
      <c r="A232">
        <f t="shared" si="43"/>
        <v>228</v>
      </c>
      <c r="B232">
        <f t="shared" si="44"/>
        <v>5.7000000000000044E-2</v>
      </c>
      <c r="C232">
        <f t="shared" si="36"/>
        <v>0.35814156250923668</v>
      </c>
      <c r="D232">
        <f t="shared" si="37"/>
        <v>-0.80901699437494057</v>
      </c>
      <c r="E232">
        <f t="shared" si="38"/>
        <v>-0.40673664307579005</v>
      </c>
      <c r="F232">
        <f t="shared" si="39"/>
        <v>0.32905685648332866</v>
      </c>
      <c r="G232">
        <f t="shared" si="40"/>
        <v>0.65450849718746262</v>
      </c>
      <c r="H232">
        <f t="shared" si="41"/>
        <v>0.16543469682056264</v>
      </c>
      <c r="I232">
        <f t="shared" si="47"/>
        <v>78.415524038289789</v>
      </c>
      <c r="J232">
        <f t="shared" si="48"/>
        <v>0.70856752233662024</v>
      </c>
      <c r="K232">
        <f t="shared" si="46"/>
        <v>0.44267301579218798</v>
      </c>
      <c r="L232">
        <f t="shared" si="49"/>
        <v>55.562693580538678</v>
      </c>
      <c r="M232">
        <f t="shared" si="42"/>
        <v>55.560930144535227</v>
      </c>
      <c r="N232">
        <f t="shared" si="45"/>
        <v>7.9670906370032085E-3</v>
      </c>
    </row>
    <row r="233" spans="1:14" x14ac:dyDescent="0.25">
      <c r="A233">
        <f t="shared" si="43"/>
        <v>229</v>
      </c>
      <c r="B233">
        <f t="shared" si="44"/>
        <v>5.7250000000000044E-2</v>
      </c>
      <c r="C233">
        <f t="shared" si="36"/>
        <v>0.35971235883603159</v>
      </c>
      <c r="D233">
        <f t="shared" si="37"/>
        <v>-0.76040596560002305</v>
      </c>
      <c r="E233">
        <f t="shared" si="38"/>
        <v>-0.33380685923376002</v>
      </c>
      <c r="F233">
        <f t="shared" si="39"/>
        <v>0.25382872711955828</v>
      </c>
      <c r="G233">
        <f t="shared" si="40"/>
        <v>0.57821723252010349</v>
      </c>
      <c r="H233">
        <f t="shared" si="41"/>
        <v>0.11142701927150728</v>
      </c>
      <c r="I233">
        <f t="shared" si="47"/>
        <v>78.341913152658364</v>
      </c>
      <c r="J233">
        <f t="shared" si="48"/>
        <v>0.70809098125939551</v>
      </c>
      <c r="K233">
        <f t="shared" si="46"/>
        <v>0.44517156693460419</v>
      </c>
      <c r="L233">
        <f t="shared" si="49"/>
        <v>55.473202158004206</v>
      </c>
      <c r="M233">
        <f t="shared" si="42"/>
        <v>55.471415881864736</v>
      </c>
      <c r="N233">
        <f t="shared" si="45"/>
        <v>8.0249841295734637E-3</v>
      </c>
    </row>
    <row r="234" spans="1:14" x14ac:dyDescent="0.25">
      <c r="A234">
        <f t="shared" si="43"/>
        <v>230</v>
      </c>
      <c r="B234">
        <f t="shared" si="44"/>
        <v>5.7500000000000044E-2</v>
      </c>
      <c r="C234">
        <f t="shared" si="36"/>
        <v>0.3612831551628265</v>
      </c>
      <c r="D234">
        <f t="shared" si="37"/>
        <v>-0.70710678118653858</v>
      </c>
      <c r="E234">
        <f t="shared" si="38"/>
        <v>-0.25881904510250919</v>
      </c>
      <c r="F234">
        <f t="shared" si="39"/>
        <v>0.18301270189220883</v>
      </c>
      <c r="G234">
        <f t="shared" si="40"/>
        <v>0.49999999999998734</v>
      </c>
      <c r="H234">
        <f t="shared" si="41"/>
        <v>6.6987298107774693E-2</v>
      </c>
      <c r="I234">
        <f t="shared" si="47"/>
        <v>78.266372089167376</v>
      </c>
      <c r="J234">
        <f t="shared" si="48"/>
        <v>0.70769862316267573</v>
      </c>
      <c r="K234">
        <f t="shared" si="46"/>
        <v>0.44737072646671727</v>
      </c>
      <c r="L234">
        <f t="shared" si="49"/>
        <v>55.389003767441423</v>
      </c>
      <c r="M234">
        <f t="shared" si="42"/>
        <v>55.387197056564801</v>
      </c>
      <c r="N234">
        <f t="shared" si="45"/>
        <v>8.0768870360092889E-3</v>
      </c>
    </row>
    <row r="235" spans="1:14" x14ac:dyDescent="0.25">
      <c r="A235">
        <f t="shared" si="43"/>
        <v>231</v>
      </c>
      <c r="B235">
        <f t="shared" si="44"/>
        <v>5.7750000000000044E-2</v>
      </c>
      <c r="C235">
        <f t="shared" si="36"/>
        <v>0.36285395148962141</v>
      </c>
      <c r="D235">
        <f t="shared" si="37"/>
        <v>-0.64944804833017378</v>
      </c>
      <c r="E235">
        <f t="shared" si="38"/>
        <v>-0.18223552549213523</v>
      </c>
      <c r="F235">
        <f t="shared" si="39"/>
        <v>0.11835250636729086</v>
      </c>
      <c r="G235">
        <f t="shared" si="40"/>
        <v>0.42178276747987176</v>
      </c>
      <c r="H235">
        <f t="shared" si="41"/>
        <v>3.3209786751394667E-2</v>
      </c>
      <c r="I235">
        <f t="shared" si="47"/>
        <v>78.190758044549796</v>
      </c>
      <c r="J235">
        <f t="shared" si="48"/>
        <v>0.70740025610286017</v>
      </c>
      <c r="K235">
        <f t="shared" si="46"/>
        <v>0.4492163437822545</v>
      </c>
      <c r="L235">
        <f t="shared" si="49"/>
        <v>55.312162265591297</v>
      </c>
      <c r="M235">
        <f t="shared" si="42"/>
        <v>55.310338085854987</v>
      </c>
      <c r="N235">
        <f t="shared" si="45"/>
        <v>8.1214750134927186E-3</v>
      </c>
    </row>
    <row r="236" spans="1:14" x14ac:dyDescent="0.25">
      <c r="A236">
        <f t="shared" si="43"/>
        <v>232</v>
      </c>
      <c r="B236">
        <f t="shared" si="44"/>
        <v>5.8000000000000045E-2</v>
      </c>
      <c r="C236">
        <f t="shared" si="36"/>
        <v>0.36442474781641626</v>
      </c>
      <c r="D236">
        <f t="shared" si="37"/>
        <v>-0.58778525229246226</v>
      </c>
      <c r="E236">
        <f t="shared" si="38"/>
        <v>-0.10452846326764065</v>
      </c>
      <c r="F236">
        <f t="shared" si="39"/>
        <v>6.144028915351353E-2</v>
      </c>
      <c r="G236">
        <f t="shared" si="40"/>
        <v>0.34549150281251351</v>
      </c>
      <c r="H236">
        <f t="shared" si="41"/>
        <v>1.09261996330945E-2</v>
      </c>
      <c r="I236">
        <f t="shared" si="47"/>
        <v>78.116935358476468</v>
      </c>
      <c r="J236">
        <f t="shared" si="48"/>
        <v>0.70720334946563523</v>
      </c>
      <c r="K236">
        <f t="shared" si="46"/>
        <v>0.45066297365765495</v>
      </c>
      <c r="L236">
        <f t="shared" si="49"/>
        <v>55.244558335505069</v>
      </c>
      <c r="M236">
        <f t="shared" si="42"/>
        <v>55.242720140930757</v>
      </c>
      <c r="N236">
        <f t="shared" si="45"/>
        <v>8.1575993588497708E-3</v>
      </c>
    </row>
    <row r="237" spans="1:14" x14ac:dyDescent="0.25">
      <c r="A237">
        <f t="shared" si="43"/>
        <v>233</v>
      </c>
      <c r="B237">
        <f t="shared" si="44"/>
        <v>5.8250000000000045E-2</v>
      </c>
      <c r="C237">
        <f t="shared" si="36"/>
        <v>0.36599554414321117</v>
      </c>
      <c r="D237">
        <f t="shared" si="37"/>
        <v>-0.52249856471593703</v>
      </c>
      <c r="E237">
        <f t="shared" si="38"/>
        <v>-2.617694830785983E-2</v>
      </c>
      <c r="F237">
        <f t="shared" si="39"/>
        <v>1.3677417919500038E-2</v>
      </c>
      <c r="G237">
        <f t="shared" si="40"/>
        <v>0.27300475013021425</v>
      </c>
      <c r="H237">
        <f t="shared" si="41"/>
        <v>6.8523262271236564E-4</v>
      </c>
      <c r="I237">
        <f t="shared" si="47"/>
        <v>78.046729389880213</v>
      </c>
      <c r="J237">
        <f t="shared" si="48"/>
        <v>0.7071128378185364</v>
      </c>
      <c r="K237">
        <f t="shared" si="46"/>
        <v>0.45167499526429672</v>
      </c>
      <c r="L237">
        <f t="shared" si="49"/>
        <v>55.187844301333563</v>
      </c>
      <c r="M237">
        <f t="shared" si="42"/>
        <v>55.185995943961075</v>
      </c>
      <c r="N237">
        <f t="shared" si="45"/>
        <v>8.1843203151419786E-3</v>
      </c>
    </row>
    <row r="238" spans="1:14" x14ac:dyDescent="0.25">
      <c r="A238">
        <f t="shared" si="43"/>
        <v>234</v>
      </c>
      <c r="B238">
        <f t="shared" si="44"/>
        <v>5.8500000000000045E-2</v>
      </c>
      <c r="C238">
        <f t="shared" si="36"/>
        <v>0.36756634047000608</v>
      </c>
      <c r="D238">
        <f t="shared" si="37"/>
        <v>-0.45399049973953398</v>
      </c>
      <c r="E238">
        <f t="shared" si="38"/>
        <v>5.2335956242957581E-2</v>
      </c>
      <c r="F238">
        <f t="shared" si="39"/>
        <v>-2.3760026929086697E-2</v>
      </c>
      <c r="G238">
        <f t="shared" si="40"/>
        <v>0.2061073738537518</v>
      </c>
      <c r="H238">
        <f t="shared" si="41"/>
        <v>2.7390523158647706E-3</v>
      </c>
      <c r="I238">
        <f t="shared" si="47"/>
        <v>77.981880846100239</v>
      </c>
      <c r="J238">
        <f t="shared" si="48"/>
        <v>0.7071309908029404</v>
      </c>
      <c r="K238">
        <f t="shared" si="46"/>
        <v>0.45222748927151724</v>
      </c>
      <c r="L238">
        <f t="shared" si="49"/>
        <v>55.143404667379698</v>
      </c>
      <c r="M238">
        <f t="shared" si="42"/>
        <v>55.141550292028789</v>
      </c>
      <c r="N238">
        <f t="shared" si="45"/>
        <v>8.2009352160845855E-3</v>
      </c>
    </row>
    <row r="239" spans="1:14" x14ac:dyDescent="0.25">
      <c r="A239">
        <f t="shared" si="43"/>
        <v>235</v>
      </c>
      <c r="B239">
        <f t="shared" si="44"/>
        <v>5.8750000000000045E-2</v>
      </c>
      <c r="C239">
        <f t="shared" si="36"/>
        <v>0.36913713679680099</v>
      </c>
      <c r="D239">
        <f t="shared" si="37"/>
        <v>-0.38268343236507607</v>
      </c>
      <c r="E239">
        <f t="shared" si="38"/>
        <v>0.13052619222006567</v>
      </c>
      <c r="F239">
        <f t="shared" si="39"/>
        <v>-4.9950211252318417E-2</v>
      </c>
      <c r="G239">
        <f t="shared" si="40"/>
        <v>0.14644660940671575</v>
      </c>
      <c r="H239">
        <f t="shared" si="41"/>
        <v>1.7037086855469532E-2</v>
      </c>
      <c r="I239">
        <f t="shared" si="47"/>
        <v>77.924001756023543</v>
      </c>
      <c r="J239">
        <f t="shared" si="48"/>
        <v>0.70725735315067106</v>
      </c>
      <c r="K239">
        <f t="shared" si="46"/>
        <v>0.45230685144323635</v>
      </c>
      <c r="L239">
        <f t="shared" si="49"/>
        <v>55.112323228873457</v>
      </c>
      <c r="M239">
        <f t="shared" si="42"/>
        <v>55.110467156393824</v>
      </c>
      <c r="N239">
        <f t="shared" si="45"/>
        <v>8.2070002667982596E-3</v>
      </c>
    </row>
    <row r="240" spans="1:14" x14ac:dyDescent="0.25">
      <c r="A240">
        <f t="shared" si="43"/>
        <v>236</v>
      </c>
      <c r="B240">
        <f t="shared" si="44"/>
        <v>5.9000000000000045E-2</v>
      </c>
      <c r="C240">
        <f t="shared" si="36"/>
        <v>0.3707079331235959</v>
      </c>
      <c r="D240">
        <f t="shared" si="37"/>
        <v>-0.30901699437493291</v>
      </c>
      <c r="E240">
        <f t="shared" si="38"/>
        <v>0.20791169081777366</v>
      </c>
      <c r="F240">
        <f t="shared" si="39"/>
        <v>-6.4248245791918748E-2</v>
      </c>
      <c r="G240">
        <f t="shared" si="40"/>
        <v>9.5491502812517309E-2</v>
      </c>
      <c r="H240">
        <f t="shared" si="41"/>
        <v>4.3227271178705513E-2</v>
      </c>
      <c r="I240">
        <f t="shared" si="47"/>
        <v>77.874534283040092</v>
      </c>
      <c r="J240">
        <f t="shared" si="48"/>
        <v>0.707488756723196</v>
      </c>
      <c r="K240">
        <f t="shared" si="46"/>
        <v>0.45191112761939817</v>
      </c>
      <c r="L240">
        <f t="shared" si="49"/>
        <v>55.095357440305939</v>
      </c>
      <c r="M240">
        <f t="shared" si="42"/>
        <v>55.09350404365118</v>
      </c>
      <c r="N240">
        <f t="shared" si="45"/>
        <v>8.2023449636211086E-3</v>
      </c>
    </row>
    <row r="241" spans="1:14" x14ac:dyDescent="0.25">
      <c r="A241">
        <f t="shared" si="43"/>
        <v>237</v>
      </c>
      <c r="B241">
        <f t="shared" si="44"/>
        <v>5.9250000000000046E-2</v>
      </c>
      <c r="C241">
        <f t="shared" si="36"/>
        <v>0.37227872945039076</v>
      </c>
      <c r="D241">
        <f t="shared" si="37"/>
        <v>-0.2334453638558936</v>
      </c>
      <c r="E241">
        <f t="shared" si="38"/>
        <v>0.28401534470393369</v>
      </c>
      <c r="F241">
        <f t="shared" si="39"/>
        <v>-6.6302065485066841E-2</v>
      </c>
      <c r="G241">
        <f t="shared" si="40"/>
        <v>5.4496737905810555E-2</v>
      </c>
      <c r="H241">
        <f t="shared" si="41"/>
        <v>8.0664716027294275E-2</v>
      </c>
      <c r="I241">
        <f t="shared" si="47"/>
        <v>77.834713538422221</v>
      </c>
      <c r="J241">
        <f t="shared" si="48"/>
        <v>0.70781940419173373</v>
      </c>
      <c r="K241">
        <f t="shared" si="46"/>
        <v>0.45105006183387769</v>
      </c>
      <c r="L241">
        <f t="shared" si="49"/>
        <v>55.092920562200284</v>
      </c>
      <c r="M241">
        <f t="shared" si="42"/>
        <v>55.091074140142069</v>
      </c>
      <c r="N241">
        <f t="shared" si="45"/>
        <v>8.1870784345992164E-3</v>
      </c>
    </row>
    <row r="242" spans="1:14" x14ac:dyDescent="0.25">
      <c r="A242">
        <f t="shared" si="43"/>
        <v>238</v>
      </c>
      <c r="B242">
        <f t="shared" si="44"/>
        <v>5.9500000000000046E-2</v>
      </c>
      <c r="C242">
        <f t="shared" si="36"/>
        <v>0.37384952577718567</v>
      </c>
      <c r="D242">
        <f t="shared" si="37"/>
        <v>-0.15643446504021843</v>
      </c>
      <c r="E242">
        <f t="shared" si="38"/>
        <v>0.35836794954531148</v>
      </c>
      <c r="F242">
        <f t="shared" si="39"/>
        <v>-5.6061098474680791E-2</v>
      </c>
      <c r="G242">
        <f t="shared" si="40"/>
        <v>2.4471741852419324E-2</v>
      </c>
      <c r="H242">
        <f t="shared" si="41"/>
        <v>0.12842758726131093</v>
      </c>
      <c r="I242">
        <f t="shared" si="47"/>
        <v>77.805535477594219</v>
      </c>
      <c r="J242">
        <f t="shared" si="48"/>
        <v>0.70824102171560654</v>
      </c>
      <c r="K242">
        <f t="shared" si="46"/>
        <v>0.44974485638402811</v>
      </c>
      <c r="L242">
        <f t="shared" si="49"/>
        <v>55.105071941781205</v>
      </c>
      <c r="M242">
        <f t="shared" si="42"/>
        <v>55.103236595258529</v>
      </c>
      <c r="N242">
        <f t="shared" si="45"/>
        <v>8.1615873192069487E-3</v>
      </c>
    </row>
    <row r="243" spans="1:14" x14ac:dyDescent="0.25">
      <c r="A243">
        <f t="shared" si="43"/>
        <v>239</v>
      </c>
      <c r="B243">
        <f t="shared" si="44"/>
        <v>5.9750000000000046E-2</v>
      </c>
      <c r="C243">
        <f t="shared" si="36"/>
        <v>0.37542032210398057</v>
      </c>
      <c r="D243">
        <f t="shared" si="37"/>
        <v>-7.8459095727831954E-2</v>
      </c>
      <c r="E243">
        <f t="shared" si="38"/>
        <v>0.43051109680830635</v>
      </c>
      <c r="F243">
        <f t="shared" si="39"/>
        <v>-3.3777511356376834E-2</v>
      </c>
      <c r="G243">
        <f t="shared" si="40"/>
        <v>6.1558297024290982E-3</v>
      </c>
      <c r="H243">
        <f t="shared" si="41"/>
        <v>0.18533980447509091</v>
      </c>
      <c r="I243">
        <f t="shared" si="47"/>
        <v>77.787730840039842</v>
      </c>
      <c r="J243">
        <f t="shared" si="48"/>
        <v>0.70874307584338236</v>
      </c>
      <c r="K243">
        <f t="shared" si="46"/>
        <v>0.44802764975975318</v>
      </c>
      <c r="L243">
        <f t="shared" si="49"/>
        <v>55.131515618446969</v>
      </c>
      <c r="M243">
        <f t="shared" si="42"/>
        <v>55.129695134402048</v>
      </c>
      <c r="N243">
        <f t="shared" si="45"/>
        <v>8.126525177730529E-3</v>
      </c>
    </row>
    <row r="244" spans="1:14" x14ac:dyDescent="0.25">
      <c r="A244">
        <f t="shared" si="43"/>
        <v>240</v>
      </c>
      <c r="B244">
        <f t="shared" si="44"/>
        <v>6.0000000000000046E-2</v>
      </c>
      <c r="C244">
        <f t="shared" si="36"/>
        <v>0.37699111843077548</v>
      </c>
      <c r="D244">
        <f t="shared" si="37"/>
        <v>1.3475765642256832E-14</v>
      </c>
      <c r="E244">
        <f t="shared" si="38"/>
        <v>0.5000000000000111</v>
      </c>
      <c r="F244">
        <f t="shared" si="39"/>
        <v>6.7378828211285657E-15</v>
      </c>
      <c r="G244">
        <f t="shared" si="40"/>
        <v>1.8159625964502968E-28</v>
      </c>
      <c r="H244">
        <f t="shared" si="41"/>
        <v>0.2500000000000111</v>
      </c>
      <c r="I244">
        <f t="shared" si="47"/>
        <v>77.781745930520188</v>
      </c>
      <c r="J244">
        <f t="shared" si="48"/>
        <v>0.70931304795555539</v>
      </c>
      <c r="K244">
        <f t="shared" si="46"/>
        <v>0.44594072528722456</v>
      </c>
      <c r="L244">
        <f t="shared" si="49"/>
        <v>55.171607281281894</v>
      </c>
      <c r="M244">
        <f t="shared" si="42"/>
        <v>55.16980502838058</v>
      </c>
      <c r="N244">
        <f t="shared" si="45"/>
        <v>8.0827938003270594E-3</v>
      </c>
    </row>
    <row r="245" spans="1:14" x14ac:dyDescent="0.25">
      <c r="A245">
        <f t="shared" si="43"/>
        <v>241</v>
      </c>
      <c r="B245">
        <f t="shared" si="44"/>
        <v>6.0250000000000047E-2</v>
      </c>
      <c r="C245">
        <f t="shared" si="36"/>
        <v>0.37856191475757034</v>
      </c>
      <c r="D245">
        <f t="shared" si="37"/>
        <v>7.8459095727858821E-2</v>
      </c>
      <c r="E245">
        <f t="shared" si="38"/>
        <v>0.56640623692484382</v>
      </c>
      <c r="F245">
        <f t="shared" si="39"/>
        <v>4.4439721163742604E-2</v>
      </c>
      <c r="G245">
        <f t="shared" si="40"/>
        <v>6.1558297024333145E-3</v>
      </c>
      <c r="H245">
        <f t="shared" si="41"/>
        <v>0.3208160252273623</v>
      </c>
      <c r="I245">
        <f t="shared" si="47"/>
        <v>77.787730840039842</v>
      </c>
      <c r="J245">
        <f t="shared" si="48"/>
        <v>0.70993675796886446</v>
      </c>
      <c r="K245">
        <f t="shared" si="46"/>
        <v>0.44353546997306115</v>
      </c>
      <c r="L245">
        <f t="shared" si="49"/>
        <v>55.224369442332538</v>
      </c>
      <c r="M245">
        <f t="shared" si="42"/>
        <v>55.222588282242867</v>
      </c>
      <c r="N245">
        <f t="shared" si="45"/>
        <v>8.0315171445500769E-3</v>
      </c>
    </row>
    <row r="246" spans="1:14" x14ac:dyDescent="0.25">
      <c r="A246">
        <f t="shared" si="43"/>
        <v>242</v>
      </c>
      <c r="B246">
        <f t="shared" si="44"/>
        <v>6.0500000000000047E-2</v>
      </c>
      <c r="C246">
        <f t="shared" si="36"/>
        <v>0.38013271108436525</v>
      </c>
      <c r="D246">
        <f t="shared" si="37"/>
        <v>0.15643446504024505</v>
      </c>
      <c r="E246">
        <f t="shared" si="38"/>
        <v>0.62932039104984816</v>
      </c>
      <c r="F246">
        <f t="shared" si="39"/>
        <v>9.8447398712800824E-2</v>
      </c>
      <c r="G246">
        <f t="shared" si="40"/>
        <v>2.4471741852427651E-2</v>
      </c>
      <c r="H246">
        <f t="shared" si="41"/>
        <v>0.39604415459113379</v>
      </c>
      <c r="I246">
        <f t="shared" si="47"/>
        <v>77.805535477594219</v>
      </c>
      <c r="J246">
        <f t="shared" si="48"/>
        <v>0.71059872778692013</v>
      </c>
      <c r="K246">
        <f t="shared" si="46"/>
        <v>0.4408711091856824</v>
      </c>
      <c r="L246">
        <f t="shared" si="49"/>
        <v>55.288514525158533</v>
      </c>
      <c r="M246">
        <f t="shared" si="42"/>
        <v>55.28675674213266</v>
      </c>
      <c r="N246">
        <f t="shared" si="45"/>
        <v>7.9740089414966648E-3</v>
      </c>
    </row>
    <row r="247" spans="1:14" x14ac:dyDescent="0.25">
      <c r="A247">
        <f t="shared" si="43"/>
        <v>243</v>
      </c>
      <c r="B247">
        <f t="shared" si="44"/>
        <v>6.0750000000000047E-2</v>
      </c>
      <c r="C247">
        <f t="shared" si="36"/>
        <v>0.38170350741116016</v>
      </c>
      <c r="D247">
        <f t="shared" si="37"/>
        <v>0.2334453638559198</v>
      </c>
      <c r="E247">
        <f t="shared" si="38"/>
        <v>0.68835457569376424</v>
      </c>
      <c r="F247">
        <f t="shared" si="39"/>
        <v>0.16069318438471808</v>
      </c>
      <c r="G247">
        <f t="shared" si="40"/>
        <v>5.4496737905822788E-2</v>
      </c>
      <c r="H247">
        <f t="shared" si="41"/>
        <v>0.47383202187854218</v>
      </c>
      <c r="I247">
        <f t="shared" si="47"/>
        <v>77.834713538422236</v>
      </c>
      <c r="J247">
        <f t="shared" si="48"/>
        <v>0.71128257413877505</v>
      </c>
      <c r="K247">
        <f t="shared" si="46"/>
        <v>0.43801324833018002</v>
      </c>
      <c r="L247">
        <f t="shared" si="49"/>
        <v>55.362475402963135</v>
      </c>
      <c r="M247">
        <f t="shared" si="42"/>
        <v>55.360742653418093</v>
      </c>
      <c r="N247">
        <f t="shared" si="45"/>
        <v>7.9117352528412493E-3</v>
      </c>
    </row>
    <row r="248" spans="1:14" x14ac:dyDescent="0.25">
      <c r="A248">
        <f t="shared" si="43"/>
        <v>244</v>
      </c>
      <c r="B248">
        <f t="shared" si="44"/>
        <v>6.1000000000000047E-2</v>
      </c>
      <c r="C248">
        <f t="shared" si="36"/>
        <v>0.38327430373795507</v>
      </c>
      <c r="D248">
        <f t="shared" si="37"/>
        <v>0.30901699437496194</v>
      </c>
      <c r="E248">
        <f t="shared" si="38"/>
        <v>0.74314482547740401</v>
      </c>
      <c r="F248">
        <f t="shared" si="39"/>
        <v>0.22964438035433302</v>
      </c>
      <c r="G248">
        <f t="shared" si="40"/>
        <v>9.5491502812535253E-2</v>
      </c>
      <c r="H248">
        <f t="shared" si="41"/>
        <v>0.55226423163384131</v>
      </c>
      <c r="I248">
        <f t="shared" si="47"/>
        <v>77.874534283040106</v>
      </c>
      <c r="J248">
        <f t="shared" si="48"/>
        <v>0.71197141999902169</v>
      </c>
      <c r="K248">
        <f t="shared" si="46"/>
        <v>0.43503225742551277</v>
      </c>
      <c r="L248">
        <f t="shared" si="49"/>
        <v>55.444442755258564</v>
      </c>
      <c r="M248">
        <f t="shared" si="42"/>
        <v>55.44273603797113</v>
      </c>
      <c r="N248">
        <f t="shared" si="45"/>
        <v>7.8462734190660188E-3</v>
      </c>
    </row>
    <row r="249" spans="1:14" x14ac:dyDescent="0.25">
      <c r="A249">
        <f t="shared" si="43"/>
        <v>245</v>
      </c>
      <c r="B249">
        <f t="shared" si="44"/>
        <v>6.1250000000000047E-2</v>
      </c>
      <c r="C249">
        <f t="shared" si="36"/>
        <v>0.38484510006474998</v>
      </c>
      <c r="D249">
        <f t="shared" si="37"/>
        <v>0.38268343236510427</v>
      </c>
      <c r="E249">
        <f t="shared" si="38"/>
        <v>0.79335334029124438</v>
      </c>
      <c r="F249">
        <f t="shared" si="39"/>
        <v>0.30360317934097397</v>
      </c>
      <c r="G249">
        <f t="shared" si="40"/>
        <v>0.14644660940673734</v>
      </c>
      <c r="H249">
        <f t="shared" si="41"/>
        <v>0.62940952255127502</v>
      </c>
      <c r="I249">
        <f t="shared" si="47"/>
        <v>77.924001756023557</v>
      </c>
      <c r="J249">
        <f t="shared" si="48"/>
        <v>0.71264831370872639</v>
      </c>
      <c r="K249">
        <f t="shared" si="46"/>
        <v>0.43200153836109545</v>
      </c>
      <c r="L249">
        <f t="shared" si="49"/>
        <v>55.532408448866022</v>
      </c>
      <c r="M249">
        <f t="shared" si="42"/>
        <v>55.530728095375629</v>
      </c>
      <c r="N249">
        <f t="shared" si="45"/>
        <v>7.7792689067120221E-3</v>
      </c>
    </row>
    <row r="250" spans="1:14" x14ac:dyDescent="0.25">
      <c r="A250">
        <f t="shared" si="43"/>
        <v>246</v>
      </c>
      <c r="B250">
        <f t="shared" si="44"/>
        <v>6.1500000000000048E-2</v>
      </c>
      <c r="C250">
        <f t="shared" si="36"/>
        <v>0.38641589639154483</v>
      </c>
      <c r="D250">
        <f t="shared" si="37"/>
        <v>0.45399049973955802</v>
      </c>
      <c r="E250">
        <f t="shared" si="38"/>
        <v>0.83867056794543049</v>
      </c>
      <c r="F250">
        <f t="shared" si="39"/>
        <v>0.38074847025840491</v>
      </c>
      <c r="G250">
        <f t="shared" si="40"/>
        <v>0.20610737385377362</v>
      </c>
      <c r="H250">
        <f t="shared" si="41"/>
        <v>0.70336832153791096</v>
      </c>
      <c r="I250">
        <f t="shared" si="47"/>
        <v>77.981880846100253</v>
      </c>
      <c r="J250">
        <f t="shared" si="48"/>
        <v>0.7132966451759214</v>
      </c>
      <c r="K250">
        <f t="shared" si="46"/>
        <v>0.42899571749867371</v>
      </c>
      <c r="L250">
        <f t="shared" si="49"/>
        <v>55.624213992031756</v>
      </c>
      <c r="M250">
        <f t="shared" si="42"/>
        <v>55.622559675959799</v>
      </c>
      <c r="N250">
        <f t="shared" si="45"/>
        <v>7.7123915415708696E-3</v>
      </c>
    </row>
    <row r="251" spans="1:14" x14ac:dyDescent="0.25">
      <c r="A251">
        <f t="shared" si="43"/>
        <v>247</v>
      </c>
      <c r="B251">
        <f t="shared" si="44"/>
        <v>6.1750000000000048E-2</v>
      </c>
      <c r="C251">
        <f t="shared" si="36"/>
        <v>0.38798669271833974</v>
      </c>
      <c r="D251">
        <f t="shared" si="37"/>
        <v>0.52249856471596001</v>
      </c>
      <c r="E251">
        <f t="shared" si="38"/>
        <v>0.87881711266197127</v>
      </c>
      <c r="F251">
        <f t="shared" si="39"/>
        <v>0.4591806800137041</v>
      </c>
      <c r="G251">
        <f t="shared" si="40"/>
        <v>0.27300475013023823</v>
      </c>
      <c r="H251">
        <f t="shared" si="41"/>
        <v>0.77231951750752392</v>
      </c>
      <c r="I251">
        <f t="shared" si="47"/>
        <v>78.046729389880227</v>
      </c>
      <c r="J251">
        <f t="shared" si="48"/>
        <v>0.71390054907448031</v>
      </c>
      <c r="K251">
        <f t="shared" si="46"/>
        <v>0.42608880812362787</v>
      </c>
      <c r="L251">
        <f t="shared" si="49"/>
        <v>55.717602964902873</v>
      </c>
      <c r="M251">
        <f t="shared" si="42"/>
        <v>55.715973728206038</v>
      </c>
      <c r="N251">
        <f t="shared" si="45"/>
        <v>7.64729251529406E-3</v>
      </c>
    </row>
    <row r="252" spans="1:14" x14ac:dyDescent="0.25">
      <c r="A252">
        <f t="shared" si="43"/>
        <v>248</v>
      </c>
      <c r="B252">
        <f t="shared" si="44"/>
        <v>6.2000000000000048E-2</v>
      </c>
      <c r="C252">
        <f t="shared" si="36"/>
        <v>0.38955748904513465</v>
      </c>
      <c r="D252">
        <f t="shared" si="37"/>
        <v>0.58778525229248402</v>
      </c>
      <c r="E252">
        <f t="shared" si="38"/>
        <v>0.91354545764260608</v>
      </c>
      <c r="F252">
        <f t="shared" si="39"/>
        <v>0.53696854730111199</v>
      </c>
      <c r="G252">
        <f t="shared" si="40"/>
        <v>0.3454915028125391</v>
      </c>
      <c r="H252">
        <f t="shared" si="41"/>
        <v>0.83456530317943856</v>
      </c>
      <c r="I252">
        <f t="shared" si="47"/>
        <v>78.116935358476482</v>
      </c>
      <c r="J252">
        <f t="shared" si="48"/>
        <v>0.71444528572154742</v>
      </c>
      <c r="K252">
        <f t="shared" si="46"/>
        <v>0.42335238799225089</v>
      </c>
      <c r="L252">
        <f t="shared" si="49"/>
        <v>55.810276201878381</v>
      </c>
      <c r="M252">
        <f t="shared" si="42"/>
        <v>55.808670495591755</v>
      </c>
      <c r="N252">
        <f t="shared" si="45"/>
        <v>7.5855633908868255E-3</v>
      </c>
    </row>
    <row r="253" spans="1:14" x14ac:dyDescent="0.25">
      <c r="A253">
        <f t="shared" si="43"/>
        <v>249</v>
      </c>
      <c r="B253">
        <f t="shared" si="44"/>
        <v>6.2250000000000048E-2</v>
      </c>
      <c r="C253">
        <f t="shared" si="36"/>
        <v>0.39112828537192956</v>
      </c>
      <c r="D253">
        <f t="shared" si="37"/>
        <v>0.64944804833019421</v>
      </c>
      <c r="E253">
        <f t="shared" si="38"/>
        <v>0.94264149109218287</v>
      </c>
      <c r="F253">
        <f t="shared" si="39"/>
        <v>0.61219667666488231</v>
      </c>
      <c r="G253">
        <f t="shared" si="40"/>
        <v>0.42178276747989829</v>
      </c>
      <c r="H253">
        <f t="shared" si="41"/>
        <v>0.88857298072849389</v>
      </c>
      <c r="I253">
        <f t="shared" si="47"/>
        <v>78.19075804454981</v>
      </c>
      <c r="J253">
        <f t="shared" si="48"/>
        <v>0.71491759123629539</v>
      </c>
      <c r="K253">
        <f t="shared" si="46"/>
        <v>0.42085383684983474</v>
      </c>
      <c r="L253">
        <f t="shared" si="49"/>
        <v>55.899948398149533</v>
      </c>
      <c r="M253">
        <f t="shared" si="42"/>
        <v>55.898364134952907</v>
      </c>
      <c r="N253">
        <f t="shared" si="45"/>
        <v>7.5286981278101925E-3</v>
      </c>
    </row>
    <row r="254" spans="1:14" x14ac:dyDescent="0.25">
      <c r="A254">
        <f t="shared" si="43"/>
        <v>250</v>
      </c>
      <c r="B254">
        <f t="shared" si="44"/>
        <v>6.2500000000000042E-2</v>
      </c>
      <c r="C254">
        <f t="shared" si="36"/>
        <v>0.39269908169872442</v>
      </c>
      <c r="D254">
        <f t="shared" si="37"/>
        <v>0.70710678118655768</v>
      </c>
      <c r="E254">
        <f t="shared" si="38"/>
        <v>0.96592582628907186</v>
      </c>
      <c r="F254">
        <f t="shared" si="39"/>
        <v>0.68301270189223162</v>
      </c>
      <c r="G254">
        <f t="shared" si="40"/>
        <v>0.50000000000001432</v>
      </c>
      <c r="H254">
        <f t="shared" si="41"/>
        <v>0.93301270189222618</v>
      </c>
      <c r="I254">
        <f t="shared" si="47"/>
        <v>78.26637208916739</v>
      </c>
      <c r="J254">
        <f t="shared" si="48"/>
        <v>0.71530598961119674</v>
      </c>
      <c r="K254">
        <f t="shared" si="46"/>
        <v>0.41865467731772177</v>
      </c>
      <c r="L254">
        <f t="shared" si="49"/>
        <v>55.984404740520027</v>
      </c>
      <c r="M254">
        <f t="shared" si="42"/>
        <v>55.982839356462812</v>
      </c>
      <c r="N254">
        <f t="shared" si="45"/>
        <v>7.4780589211965063E-3</v>
      </c>
    </row>
    <row r="255" spans="1:14" x14ac:dyDescent="0.25">
      <c r="A255">
        <f t="shared" si="43"/>
        <v>251</v>
      </c>
      <c r="B255">
        <f t="shared" si="44"/>
        <v>6.2750000000000042E-2</v>
      </c>
      <c r="C255">
        <f t="shared" si="36"/>
        <v>0.39426987802551927</v>
      </c>
      <c r="D255">
        <f t="shared" si="37"/>
        <v>0.76040596560003826</v>
      </c>
      <c r="E255">
        <f t="shared" si="38"/>
        <v>0.9832549075639565</v>
      </c>
      <c r="F255">
        <f t="shared" si="39"/>
        <v>0.74767289741714671</v>
      </c>
      <c r="G255">
        <f t="shared" si="40"/>
        <v>0.57821723252012658</v>
      </c>
      <c r="H255">
        <f t="shared" si="41"/>
        <v>0.9667902132486047</v>
      </c>
      <c r="I255">
        <f t="shared" si="47"/>
        <v>78.341913152658378</v>
      </c>
      <c r="J255">
        <f t="shared" si="48"/>
        <v>0.71560106041397697</v>
      </c>
      <c r="K255">
        <f t="shared" si="46"/>
        <v>0.41680906000218437</v>
      </c>
      <c r="L255">
        <f t="shared" si="49"/>
        <v>56.061556126902026</v>
      </c>
      <c r="M255">
        <f t="shared" si="42"/>
        <v>56.060006649814859</v>
      </c>
      <c r="N255">
        <f t="shared" si="45"/>
        <v>7.4348464223627205E-3</v>
      </c>
    </row>
    <row r="256" spans="1:14" x14ac:dyDescent="0.25">
      <c r="A256">
        <f t="shared" si="43"/>
        <v>252</v>
      </c>
      <c r="B256">
        <f t="shared" si="44"/>
        <v>6.3000000000000042E-2</v>
      </c>
      <c r="C256">
        <f t="shared" si="36"/>
        <v>0.39584067435231418</v>
      </c>
      <c r="D256">
        <f t="shared" si="37"/>
        <v>0.80901699437495433</v>
      </c>
      <c r="E256">
        <f t="shared" si="38"/>
        <v>0.99452189536827451</v>
      </c>
      <c r="F256">
        <f t="shared" si="39"/>
        <v>0.8045851146309243</v>
      </c>
      <c r="G256">
        <f t="shared" si="40"/>
        <v>0.65450849718748494</v>
      </c>
      <c r="H256">
        <f t="shared" si="41"/>
        <v>0.98907380036690518</v>
      </c>
      <c r="I256">
        <f t="shared" si="47"/>
        <v>78.415524038289803</v>
      </c>
      <c r="J256">
        <f t="shared" si="48"/>
        <v>0.71579565694727909</v>
      </c>
      <c r="K256">
        <f t="shared" si="46"/>
        <v>0.41536243012678403</v>
      </c>
      <c r="L256">
        <f t="shared" si="49"/>
        <v>56.129491543852808</v>
      </c>
      <c r="M256">
        <f t="shared" si="42"/>
        <v>56.127954666307616</v>
      </c>
      <c r="N256">
        <f t="shared" si="45"/>
        <v>7.4000746969580151E-3</v>
      </c>
    </row>
    <row r="257" spans="1:14" x14ac:dyDescent="0.25">
      <c r="A257">
        <f t="shared" si="43"/>
        <v>253</v>
      </c>
      <c r="B257">
        <f t="shared" si="44"/>
        <v>6.3250000000000042E-2</v>
      </c>
      <c r="C257">
        <f t="shared" si="36"/>
        <v>0.39741147067910909</v>
      </c>
      <c r="D257">
        <f t="shared" si="37"/>
        <v>0.85264016435409851</v>
      </c>
      <c r="E257">
        <f t="shared" si="38"/>
        <v>0.99965732497555759</v>
      </c>
      <c r="F257">
        <f t="shared" si="39"/>
        <v>0.85234798586493787</v>
      </c>
      <c r="G257">
        <f t="shared" si="40"/>
        <v>0.72699524986978414</v>
      </c>
      <c r="H257">
        <f t="shared" si="41"/>
        <v>0.99931476737728753</v>
      </c>
      <c r="I257">
        <f t="shared" si="47"/>
        <v>78.485400117109705</v>
      </c>
      <c r="J257">
        <f t="shared" si="48"/>
        <v>0.71588507079853014</v>
      </c>
      <c r="K257">
        <f t="shared" si="46"/>
        <v>0.41435040852014221</v>
      </c>
      <c r="L257">
        <f t="shared" si="49"/>
        <v>56.186526219488044</v>
      </c>
      <c r="M257">
        <f t="shared" si="42"/>
        <v>56.184998374585511</v>
      </c>
      <c r="N257">
        <f t="shared" si="45"/>
        <v>7.3745510961385373E-3</v>
      </c>
    </row>
    <row r="258" spans="1:14" x14ac:dyDescent="0.25">
      <c r="A258">
        <f t="shared" si="43"/>
        <v>254</v>
      </c>
      <c r="B258">
        <f t="shared" si="44"/>
        <v>6.3500000000000043E-2</v>
      </c>
      <c r="C258">
        <f t="shared" si="36"/>
        <v>0.398982267005904</v>
      </c>
      <c r="D258">
        <f t="shared" si="37"/>
        <v>0.89100652418837356</v>
      </c>
      <c r="E258">
        <f t="shared" si="38"/>
        <v>0.99862953475457328</v>
      </c>
      <c r="F258">
        <f t="shared" si="39"/>
        <v>0.88978543071352489</v>
      </c>
      <c r="G258">
        <f t="shared" si="40"/>
        <v>0.79389262614624667</v>
      </c>
      <c r="H258">
        <f t="shared" si="41"/>
        <v>0.99726094768413542</v>
      </c>
      <c r="I258">
        <f t="shared" si="47"/>
        <v>78.549832970571117</v>
      </c>
      <c r="J258">
        <f t="shared" si="48"/>
        <v>0.71586713980043271</v>
      </c>
      <c r="K258">
        <f t="shared" si="46"/>
        <v>0.41379791451292164</v>
      </c>
      <c r="L258">
        <f t="shared" si="49"/>
        <v>56.23124426044447</v>
      </c>
      <c r="M258">
        <f t="shared" si="42"/>
        <v>56.229721699148698</v>
      </c>
      <c r="N258">
        <f t="shared" si="45"/>
        <v>7.3588610736825769E-3</v>
      </c>
    </row>
    <row r="259" spans="1:14" x14ac:dyDescent="0.25">
      <c r="A259">
        <f t="shared" si="43"/>
        <v>255</v>
      </c>
      <c r="B259">
        <f t="shared" si="44"/>
        <v>6.3750000000000043E-2</v>
      </c>
      <c r="C259">
        <f t="shared" si="36"/>
        <v>0.40055306333269891</v>
      </c>
      <c r="D259">
        <f t="shared" si="37"/>
        <v>0.92387953251129173</v>
      </c>
      <c r="E259">
        <f t="shared" si="38"/>
        <v>0.99144486137380883</v>
      </c>
      <c r="F259">
        <f t="shared" si="39"/>
        <v>0.91597561503675695</v>
      </c>
      <c r="G259">
        <f t="shared" si="40"/>
        <v>0.85355339059328295</v>
      </c>
      <c r="H259">
        <f t="shared" si="41"/>
        <v>0.98296291314453099</v>
      </c>
      <c r="I259">
        <f t="shared" si="47"/>
        <v>78.607251257929349</v>
      </c>
      <c r="J259">
        <f t="shared" si="48"/>
        <v>0.71574229748863316</v>
      </c>
      <c r="K259">
        <f t="shared" si="46"/>
        <v>0.41371855234120264</v>
      </c>
      <c r="L259">
        <f t="shared" si="49"/>
        <v>56.262534614616598</v>
      </c>
      <c r="M259">
        <f t="shared" si="42"/>
        <v>56.261013483764934</v>
      </c>
      <c r="N259">
        <f t="shared" si="45"/>
        <v>7.3533578814936919E-3</v>
      </c>
    </row>
    <row r="260" spans="1:14" x14ac:dyDescent="0.25">
      <c r="A260">
        <f t="shared" si="43"/>
        <v>256</v>
      </c>
      <c r="B260">
        <f t="shared" si="44"/>
        <v>6.4000000000000043E-2</v>
      </c>
      <c r="C260">
        <f t="shared" si="36"/>
        <v>0.40212385965949377</v>
      </c>
      <c r="D260">
        <f t="shared" si="37"/>
        <v>0.95105651629515664</v>
      </c>
      <c r="E260">
        <f t="shared" si="38"/>
        <v>0.97814760073380369</v>
      </c>
      <c r="F260">
        <f t="shared" si="39"/>
        <v>0.93027364957635716</v>
      </c>
      <c r="G260">
        <f t="shared" si="40"/>
        <v>0.9045084971874795</v>
      </c>
      <c r="H260">
        <f t="shared" si="41"/>
        <v>0.9567727288212966</v>
      </c>
      <c r="I260">
        <f t="shared" si="47"/>
        <v>78.656257921411495</v>
      </c>
      <c r="J260">
        <f t="shared" si="48"/>
        <v>0.71551356319098991</v>
      </c>
      <c r="K260">
        <f t="shared" si="46"/>
        <v>0.41411427616504082</v>
      </c>
      <c r="L260">
        <f t="shared" si="49"/>
        <v>56.279619372618662</v>
      </c>
      <c r="M260">
        <f t="shared" si="42"/>
        <v>56.27809579306242</v>
      </c>
      <c r="N260">
        <f t="shared" si="45"/>
        <v>7.3581570163659812E-3</v>
      </c>
    </row>
    <row r="261" spans="1:14" x14ac:dyDescent="0.25">
      <c r="A261">
        <f t="shared" si="43"/>
        <v>257</v>
      </c>
      <c r="B261">
        <f t="shared" si="44"/>
        <v>6.4250000000000043E-2</v>
      </c>
      <c r="C261">
        <f t="shared" ref="C261:C324" si="50">2*PI()*B261</f>
        <v>0.40369465598628868</v>
      </c>
      <c r="D261">
        <f t="shared" ref="D261:D324" si="51">$C$1*SIN(C261*50)</f>
        <v>0.97236992039767989</v>
      </c>
      <c r="E261">
        <f t="shared" ref="E261:E324" si="52">$C$2*SIN(C261*50 + PI()*30/180)</f>
        <v>0.95881973486818928</v>
      </c>
      <c r="F261">
        <f t="shared" ref="F261:F324" si="53">D261*E261</f>
        <v>0.93232746926950572</v>
      </c>
      <c r="G261">
        <f t="shared" ref="G261:G324" si="54">POWER(D261,2)</f>
        <v>0.94550326209419033</v>
      </c>
      <c r="H261">
        <f t="shared" ref="H261:H324" si="55">POWER(E261,2)</f>
        <v>0.91933528397270481</v>
      </c>
      <c r="I261">
        <f t="shared" si="47"/>
        <v>78.69566295795309</v>
      </c>
      <c r="J261">
        <f t="shared" si="48"/>
        <v>0.71518647292133497</v>
      </c>
      <c r="K261">
        <f t="shared" si="46"/>
        <v>0.41497534195056124</v>
      </c>
      <c r="L261">
        <f t="shared" si="49"/>
        <v>56.282073625104623</v>
      </c>
      <c r="M261">
        <f t="shared" ref="M261:M324" si="56">SQRT(POWER(L261,2)-POWER(K261,2))</f>
        <v>56.280543769648055</v>
      </c>
      <c r="N261">
        <f t="shared" si="45"/>
        <v>7.3731352670961554E-3</v>
      </c>
    </row>
    <row r="262" spans="1:14" x14ac:dyDescent="0.25">
      <c r="A262">
        <f t="shared" ref="A262:A325" si="57">A261+1</f>
        <v>258</v>
      </c>
      <c r="B262">
        <f t="shared" ref="B262:B325" si="58">B261+(1/4000)</f>
        <v>6.4500000000000043E-2</v>
      </c>
      <c r="C262">
        <f t="shared" si="50"/>
        <v>0.40526545231308359</v>
      </c>
      <c r="D262">
        <f t="shared" si="51"/>
        <v>0.98768834059513999</v>
      </c>
      <c r="E262">
        <f t="shared" si="52"/>
        <v>0.93358042649719686</v>
      </c>
      <c r="F262">
        <f t="shared" si="53"/>
        <v>0.92208650225911948</v>
      </c>
      <c r="G262">
        <f t="shared" si="54"/>
        <v>0.97552825814758126</v>
      </c>
      <c r="H262">
        <f t="shared" si="55"/>
        <v>0.87157241273868802</v>
      </c>
      <c r="I262">
        <f t="shared" si="47"/>
        <v>78.72451110705498</v>
      </c>
      <c r="J262">
        <f t="shared" si="48"/>
        <v>0.71476895229104209</v>
      </c>
      <c r="K262">
        <f t="shared" si="46"/>
        <v>0.41628054740041082</v>
      </c>
      <c r="L262">
        <f t="shared" si="49"/>
        <v>56.269836323614193</v>
      </c>
      <c r="M262">
        <f t="shared" si="56"/>
        <v>56.268296494493129</v>
      </c>
      <c r="N262">
        <f t="shared" ref="N262:N325" si="59">K262/L262</f>
        <v>7.39793421481332E-3</v>
      </c>
    </row>
    <row r="263" spans="1:14" x14ac:dyDescent="0.25">
      <c r="A263">
        <f t="shared" si="57"/>
        <v>259</v>
      </c>
      <c r="B263">
        <f t="shared" si="58"/>
        <v>6.4750000000000044E-2</v>
      </c>
      <c r="C263">
        <f t="shared" si="50"/>
        <v>0.40683624863987849</v>
      </c>
      <c r="D263">
        <f t="shared" si="51"/>
        <v>0.99691733373312919</v>
      </c>
      <c r="E263">
        <f t="shared" si="52"/>
        <v>0.90258528434985452</v>
      </c>
      <c r="F263">
        <f t="shared" si="53"/>
        <v>0.89980291514081523</v>
      </c>
      <c r="G263">
        <f t="shared" si="54"/>
        <v>0.99384417029757133</v>
      </c>
      <c r="H263">
        <f t="shared" si="55"/>
        <v>0.81466019552490776</v>
      </c>
      <c r="I263">
        <f t="shared" si="47"/>
        <v>78.742103926409726</v>
      </c>
      <c r="J263">
        <f t="shared" si="48"/>
        <v>0.71427113370488504</v>
      </c>
      <c r="K263">
        <f t="shared" si="46"/>
        <v>0.41799775402468575</v>
      </c>
      <c r="L263">
        <f t="shared" si="49"/>
        <v>56.243211841824554</v>
      </c>
      <c r="M263">
        <f t="shared" si="56"/>
        <v>56.241658547396909</v>
      </c>
      <c r="N263">
        <f t="shared" si="59"/>
        <v>7.4319680604343977E-3</v>
      </c>
    </row>
    <row r="264" spans="1:14" x14ac:dyDescent="0.25">
      <c r="A264">
        <f t="shared" si="57"/>
        <v>260</v>
      </c>
      <c r="B264">
        <f t="shared" si="58"/>
        <v>6.5000000000000044E-2</v>
      </c>
      <c r="C264">
        <f t="shared" si="50"/>
        <v>0.4084070449666734</v>
      </c>
      <c r="D264">
        <f t="shared" si="51"/>
        <v>1</v>
      </c>
      <c r="E264">
        <f t="shared" si="52"/>
        <v>0.86602540378443138</v>
      </c>
      <c r="F264">
        <f t="shared" si="53"/>
        <v>0.86602540378443138</v>
      </c>
      <c r="G264">
        <f t="shared" si="54"/>
        <v>1</v>
      </c>
      <c r="H264">
        <f t="shared" si="55"/>
        <v>0.74999999999998745</v>
      </c>
      <c r="I264">
        <f t="shared" si="47"/>
        <v>78.748015848019961</v>
      </c>
      <c r="J264">
        <f t="shared" si="48"/>
        <v>0.71370512118100993</v>
      </c>
      <c r="K264">
        <f t="shared" si="46"/>
        <v>0.42008467849721437</v>
      </c>
      <c r="L264">
        <f t="shared" si="49"/>
        <v>56.202862193575179</v>
      </c>
      <c r="M264">
        <f t="shared" si="56"/>
        <v>56.201292223692633</v>
      </c>
      <c r="N264">
        <f t="shared" si="59"/>
        <v>7.4744356799899114E-3</v>
      </c>
    </row>
    <row r="265" spans="1:14" x14ac:dyDescent="0.25">
      <c r="A265">
        <f t="shared" si="57"/>
        <v>261</v>
      </c>
      <c r="B265">
        <f t="shared" si="58"/>
        <v>6.5250000000000044E-2</v>
      </c>
      <c r="C265">
        <f t="shared" si="50"/>
        <v>0.40997784129346826</v>
      </c>
      <c r="D265">
        <f t="shared" si="51"/>
        <v>0.99691733373312708</v>
      </c>
      <c r="E265">
        <f t="shared" si="52"/>
        <v>0.82412618862200915</v>
      </c>
      <c r="F265">
        <f t="shared" si="53"/>
        <v>0.82158568262069753</v>
      </c>
      <c r="G265">
        <f t="shared" si="54"/>
        <v>0.99384417029756711</v>
      </c>
      <c r="H265">
        <f t="shared" si="55"/>
        <v>0.67918397477263937</v>
      </c>
      <c r="I265">
        <f t="shared" si="47"/>
        <v>78.742103926409726</v>
      </c>
      <c r="J265">
        <f t="shared" si="48"/>
        <v>0.71308470722955364</v>
      </c>
      <c r="K265">
        <f t="shared" si="46"/>
        <v>0.42248993381137789</v>
      </c>
      <c r="L265">
        <f t="shared" si="49"/>
        <v>56.149790125002966</v>
      </c>
      <c r="M265">
        <f t="shared" si="56"/>
        <v>56.148200624220443</v>
      </c>
      <c r="N265">
        <f t="shared" si="59"/>
        <v>7.524336829591232E-3</v>
      </c>
    </row>
    <row r="266" spans="1:14" x14ac:dyDescent="0.25">
      <c r="A266">
        <f t="shared" si="57"/>
        <v>262</v>
      </c>
      <c r="B266">
        <f t="shared" si="58"/>
        <v>6.5500000000000044E-2</v>
      </c>
      <c r="C266">
        <f t="shared" si="50"/>
        <v>0.41154863762026317</v>
      </c>
      <c r="D266">
        <f t="shared" si="51"/>
        <v>0.98768834059513577</v>
      </c>
      <c r="E266">
        <f t="shared" si="52"/>
        <v>0.77714596145696335</v>
      </c>
      <c r="F266">
        <f t="shared" si="53"/>
        <v>0.76757800507163942</v>
      </c>
      <c r="G266">
        <f t="shared" si="54"/>
        <v>0.97552825814757294</v>
      </c>
      <c r="H266">
        <f t="shared" si="55"/>
        <v>0.60395584540886793</v>
      </c>
      <c r="I266">
        <f t="shared" si="47"/>
        <v>78.72451110705498</v>
      </c>
      <c r="J266">
        <f t="shared" si="48"/>
        <v>0.71242504733312906</v>
      </c>
      <c r="K266">
        <f t="shared" si="46"/>
        <v>0.4251542945987567</v>
      </c>
      <c r="L266">
        <f t="shared" si="49"/>
        <v>56.085313551721086</v>
      </c>
      <c r="M266">
        <f t="shared" si="56"/>
        <v>56.083702089115455</v>
      </c>
      <c r="N266">
        <f t="shared" si="59"/>
        <v>7.5804924261800802E-3</v>
      </c>
    </row>
    <row r="267" spans="1:14" x14ac:dyDescent="0.25">
      <c r="A267">
        <f t="shared" si="57"/>
        <v>263</v>
      </c>
      <c r="B267">
        <f t="shared" si="58"/>
        <v>6.5750000000000045E-2</v>
      </c>
      <c r="C267">
        <f t="shared" si="50"/>
        <v>0.41311943394705808</v>
      </c>
      <c r="D267">
        <f t="shared" si="51"/>
        <v>0.97236992039767356</v>
      </c>
      <c r="E267">
        <f t="shared" si="52"/>
        <v>0.72537437101227908</v>
      </c>
      <c r="F267">
        <f t="shared" si="53"/>
        <v>0.70533221939972235</v>
      </c>
      <c r="G267">
        <f t="shared" si="54"/>
        <v>0.94550326209417801</v>
      </c>
      <c r="H267">
        <f t="shared" si="55"/>
        <v>0.52616797812145955</v>
      </c>
      <c r="I267">
        <f t="shared" si="47"/>
        <v>78.695662957953076</v>
      </c>
      <c r="J267">
        <f t="shared" si="48"/>
        <v>0.71174229867735028</v>
      </c>
      <c r="K267">
        <f t="shared" si="46"/>
        <v>0.42801215545425897</v>
      </c>
      <c r="L267">
        <f t="shared" si="49"/>
        <v>56.011032049631531</v>
      </c>
      <c r="M267">
        <f t="shared" si="56"/>
        <v>56.009396683589031</v>
      </c>
      <c r="N267">
        <f t="shared" si="59"/>
        <v>7.6415688087124733E-3</v>
      </c>
    </row>
    <row r="268" spans="1:14" x14ac:dyDescent="0.25">
      <c r="A268">
        <f t="shared" si="57"/>
        <v>264</v>
      </c>
      <c r="B268">
        <f t="shared" si="58"/>
        <v>6.6000000000000045E-2</v>
      </c>
      <c r="C268">
        <f t="shared" si="50"/>
        <v>0.41469023027385299</v>
      </c>
      <c r="D268">
        <f t="shared" si="51"/>
        <v>0.95105651629514942</v>
      </c>
      <c r="E268">
        <f t="shared" si="52"/>
        <v>0.66913060635884869</v>
      </c>
      <c r="F268">
        <f t="shared" si="53"/>
        <v>0.63638102343010761</v>
      </c>
      <c r="G268">
        <f t="shared" si="54"/>
        <v>0.90450849718746584</v>
      </c>
      <c r="H268">
        <f t="shared" si="55"/>
        <v>0.44773576836616052</v>
      </c>
      <c r="I268">
        <f t="shared" si="47"/>
        <v>78.656257921411481</v>
      </c>
      <c r="J268">
        <f t="shared" si="48"/>
        <v>0.71105323085165517</v>
      </c>
      <c r="K268">
        <f t="shared" si="46"/>
        <v>0.43099314635892616</v>
      </c>
      <c r="L268">
        <f t="shared" si="49"/>
        <v>55.928786321720729</v>
      </c>
      <c r="M268">
        <f t="shared" si="56"/>
        <v>55.927125657667119</v>
      </c>
      <c r="N268">
        <f t="shared" si="59"/>
        <v>7.706105830362779E-3</v>
      </c>
    </row>
    <row r="269" spans="1:14" x14ac:dyDescent="0.25">
      <c r="A269">
        <f t="shared" si="57"/>
        <v>265</v>
      </c>
      <c r="B269">
        <f t="shared" si="58"/>
        <v>6.6250000000000045E-2</v>
      </c>
      <c r="C269">
        <f t="shared" si="50"/>
        <v>0.41626102660064784</v>
      </c>
      <c r="D269">
        <f t="shared" si="51"/>
        <v>0.92387953251128285</v>
      </c>
      <c r="E269">
        <f t="shared" si="52"/>
        <v>0.608761429008713</v>
      </c>
      <c r="F269">
        <f t="shared" si="53"/>
        <v>0.56242222444347023</v>
      </c>
      <c r="G269">
        <f t="shared" si="54"/>
        <v>0.85355339059326651</v>
      </c>
      <c r="H269">
        <f t="shared" si="55"/>
        <v>0.3705904774487303</v>
      </c>
      <c r="I269">
        <f t="shared" si="47"/>
        <v>78.607251257929349</v>
      </c>
      <c r="J269">
        <f t="shared" si="48"/>
        <v>0.71037481723953955</v>
      </c>
      <c r="K269">
        <f t="shared" si="46"/>
        <v>0.43402386542334354</v>
      </c>
      <c r="L269">
        <f t="shared" si="49"/>
        <v>55.84061174605413</v>
      </c>
      <c r="M269">
        <f t="shared" si="56"/>
        <v>55.838924984797131</v>
      </c>
      <c r="N269">
        <f t="shared" si="59"/>
        <v>7.772548542217806E-3</v>
      </c>
    </row>
    <row r="270" spans="1:14" x14ac:dyDescent="0.25">
      <c r="A270">
        <f t="shared" si="57"/>
        <v>266</v>
      </c>
      <c r="B270">
        <f t="shared" si="58"/>
        <v>6.6500000000000045E-2</v>
      </c>
      <c r="C270">
        <f t="shared" si="50"/>
        <v>0.41783182292744275</v>
      </c>
      <c r="D270">
        <f t="shared" si="51"/>
        <v>0.89100652418836135</v>
      </c>
      <c r="E270">
        <f t="shared" si="52"/>
        <v>0.54463903501501565</v>
      </c>
      <c r="F270">
        <f t="shared" si="53"/>
        <v>0.48527693352603235</v>
      </c>
      <c r="G270">
        <f t="shared" si="54"/>
        <v>0.79389262614622491</v>
      </c>
      <c r="H270">
        <f t="shared" si="55"/>
        <v>0.29663167846208743</v>
      </c>
      <c r="I270">
        <f t="shared" si="47"/>
        <v>78.549832970571103</v>
      </c>
      <c r="J270">
        <f t="shared" si="48"/>
        <v>0.70972381669264573</v>
      </c>
      <c r="K270">
        <f t="shared" si="46"/>
        <v>0.43702968628576533</v>
      </c>
      <c r="L270">
        <f t="shared" si="49"/>
        <v>55.748687256443546</v>
      </c>
      <c r="M270">
        <f t="shared" si="56"/>
        <v>55.746974230625788</v>
      </c>
      <c r="N270">
        <f t="shared" si="59"/>
        <v>7.8392821031898381E-3</v>
      </c>
    </row>
    <row r="271" spans="1:14" x14ac:dyDescent="0.25">
      <c r="A271">
        <f t="shared" si="57"/>
        <v>267</v>
      </c>
      <c r="B271">
        <f t="shared" si="58"/>
        <v>6.6750000000000045E-2</v>
      </c>
      <c r="C271">
        <f t="shared" si="50"/>
        <v>0.41940261925423766</v>
      </c>
      <c r="D271">
        <f t="shared" si="51"/>
        <v>0.85264016435408452</v>
      </c>
      <c r="E271">
        <f t="shared" si="52"/>
        <v>0.47715876025959603</v>
      </c>
      <c r="F271">
        <f t="shared" si="53"/>
        <v>0.40684472377073316</v>
      </c>
      <c r="G271">
        <f t="shared" si="54"/>
        <v>0.72699524986976027</v>
      </c>
      <c r="H271">
        <f t="shared" si="55"/>
        <v>0.22768048249247463</v>
      </c>
      <c r="I271">
        <f t="shared" si="47"/>
        <v>78.485400117109705</v>
      </c>
      <c r="J271">
        <f t="shared" si="48"/>
        <v>0.70911635577749588</v>
      </c>
      <c r="K271">
        <f t="shared" si="46"/>
        <v>0.43993659566081106</v>
      </c>
      <c r="L271">
        <f t="shared" si="49"/>
        <v>55.655280912783482</v>
      </c>
      <c r="M271">
        <f t="shared" si="56"/>
        <v>55.653542108949722</v>
      </c>
      <c r="N271">
        <f t="shared" si="59"/>
        <v>7.9046693942705776E-3</v>
      </c>
    </row>
    <row r="272" spans="1:14" x14ac:dyDescent="0.25">
      <c r="A272">
        <f t="shared" si="57"/>
        <v>268</v>
      </c>
      <c r="B272">
        <f t="shared" si="58"/>
        <v>6.7000000000000046E-2</v>
      </c>
      <c r="C272">
        <f t="shared" si="50"/>
        <v>0.42097341558103257</v>
      </c>
      <c r="D272">
        <f t="shared" si="51"/>
        <v>0.80901699437493846</v>
      </c>
      <c r="E272">
        <f t="shared" si="52"/>
        <v>0.40673664307578689</v>
      </c>
      <c r="F272">
        <f t="shared" si="53"/>
        <v>0.32905685648332522</v>
      </c>
      <c r="G272">
        <f t="shared" si="54"/>
        <v>0.65450849718745918</v>
      </c>
      <c r="H272">
        <f t="shared" si="55"/>
        <v>0.16543469682056006</v>
      </c>
      <c r="I272">
        <f t="shared" si="47"/>
        <v>78.415524038289789</v>
      </c>
      <c r="J272">
        <f t="shared" si="48"/>
        <v>0.70856752233662035</v>
      </c>
      <c r="K272">
        <f t="shared" si="46"/>
        <v>0.4426730157921881</v>
      </c>
      <c r="L272">
        <f t="shared" si="49"/>
        <v>55.562693580538692</v>
      </c>
      <c r="M272">
        <f t="shared" si="56"/>
        <v>55.560930144535241</v>
      </c>
      <c r="N272">
        <f t="shared" si="59"/>
        <v>7.9670906370032085E-3</v>
      </c>
    </row>
    <row r="273" spans="1:14" x14ac:dyDescent="0.25">
      <c r="A273">
        <f t="shared" si="57"/>
        <v>269</v>
      </c>
      <c r="B273">
        <f t="shared" si="58"/>
        <v>6.7250000000000046E-2</v>
      </c>
      <c r="C273">
        <f t="shared" si="50"/>
        <v>0.42254421190782748</v>
      </c>
      <c r="D273">
        <f t="shared" si="51"/>
        <v>0.76040596560002083</v>
      </c>
      <c r="E273">
        <f t="shared" si="52"/>
        <v>0.3338068592337568</v>
      </c>
      <c r="F273">
        <f t="shared" si="53"/>
        <v>0.25382872711955506</v>
      </c>
      <c r="G273">
        <f t="shared" si="54"/>
        <v>0.57821723252010004</v>
      </c>
      <c r="H273">
        <f t="shared" si="55"/>
        <v>0.11142701927150513</v>
      </c>
      <c r="I273">
        <f t="shared" si="47"/>
        <v>78.341913152658364</v>
      </c>
      <c r="J273">
        <f t="shared" si="48"/>
        <v>0.70809098125939562</v>
      </c>
      <c r="K273">
        <f t="shared" ref="K273:K336" si="60">AVERAGE(F197:F273)</f>
        <v>0.44517156693460419</v>
      </c>
      <c r="L273">
        <f t="shared" si="49"/>
        <v>55.473202158004213</v>
      </c>
      <c r="M273">
        <f t="shared" si="56"/>
        <v>55.471415881864743</v>
      </c>
      <c r="N273">
        <f t="shared" si="59"/>
        <v>8.0249841295734637E-3</v>
      </c>
    </row>
    <row r="274" spans="1:14" x14ac:dyDescent="0.25">
      <c r="A274">
        <f t="shared" si="57"/>
        <v>270</v>
      </c>
      <c r="B274">
        <f t="shared" si="58"/>
        <v>6.7500000000000046E-2</v>
      </c>
      <c r="C274">
        <f t="shared" si="50"/>
        <v>0.42411500823462234</v>
      </c>
      <c r="D274">
        <f t="shared" si="51"/>
        <v>0.70710678118653869</v>
      </c>
      <c r="E274">
        <f t="shared" si="52"/>
        <v>0.2588190451025093</v>
      </c>
      <c r="F274">
        <f t="shared" si="53"/>
        <v>0.18301270189220895</v>
      </c>
      <c r="G274">
        <f t="shared" si="54"/>
        <v>0.49999999999998751</v>
      </c>
      <c r="H274">
        <f t="shared" si="55"/>
        <v>6.6987298107774748E-2</v>
      </c>
      <c r="I274">
        <f t="shared" si="47"/>
        <v>78.266372089167376</v>
      </c>
      <c r="J274">
        <f t="shared" si="48"/>
        <v>0.70769862316267595</v>
      </c>
      <c r="K274">
        <f t="shared" si="60"/>
        <v>0.44737072646671727</v>
      </c>
      <c r="L274">
        <f t="shared" si="49"/>
        <v>55.389003767441444</v>
      </c>
      <c r="M274">
        <f t="shared" si="56"/>
        <v>55.387197056564823</v>
      </c>
      <c r="N274">
        <f t="shared" si="59"/>
        <v>8.0768870360092854E-3</v>
      </c>
    </row>
    <row r="275" spans="1:14" x14ac:dyDescent="0.25">
      <c r="A275">
        <f t="shared" si="57"/>
        <v>271</v>
      </c>
      <c r="B275">
        <f t="shared" si="58"/>
        <v>6.7750000000000046E-2</v>
      </c>
      <c r="C275">
        <f t="shared" si="50"/>
        <v>0.42568580456141725</v>
      </c>
      <c r="D275">
        <f t="shared" si="51"/>
        <v>0.64944804833017378</v>
      </c>
      <c r="E275">
        <f t="shared" si="52"/>
        <v>0.18223552549213534</v>
      </c>
      <c r="F275">
        <f t="shared" si="53"/>
        <v>0.11835250636729093</v>
      </c>
      <c r="G275">
        <f t="shared" si="54"/>
        <v>0.42178276747987176</v>
      </c>
      <c r="H275">
        <f t="shared" si="55"/>
        <v>3.3209786751394708E-2</v>
      </c>
      <c r="I275">
        <f t="shared" si="47"/>
        <v>78.19075804454981</v>
      </c>
      <c r="J275">
        <f t="shared" si="48"/>
        <v>0.70740025610286028</v>
      </c>
      <c r="K275">
        <f t="shared" si="60"/>
        <v>0.44921634378225461</v>
      </c>
      <c r="L275">
        <f t="shared" si="49"/>
        <v>55.312162265591319</v>
      </c>
      <c r="M275">
        <f t="shared" si="56"/>
        <v>55.310338085855008</v>
      </c>
      <c r="N275">
        <f t="shared" si="59"/>
        <v>8.1214750134927169E-3</v>
      </c>
    </row>
    <row r="276" spans="1:14" x14ac:dyDescent="0.25">
      <c r="A276">
        <f t="shared" si="57"/>
        <v>272</v>
      </c>
      <c r="B276">
        <f t="shared" si="58"/>
        <v>6.8000000000000047E-2</v>
      </c>
      <c r="C276">
        <f t="shared" si="50"/>
        <v>0.42725660088821216</v>
      </c>
      <c r="D276">
        <f t="shared" si="51"/>
        <v>0.58778525229246226</v>
      </c>
      <c r="E276">
        <f t="shared" si="52"/>
        <v>0.10452846326764077</v>
      </c>
      <c r="F276">
        <f t="shared" si="53"/>
        <v>6.1440289153513607E-2</v>
      </c>
      <c r="G276">
        <f t="shared" si="54"/>
        <v>0.34549150281251351</v>
      </c>
      <c r="H276">
        <f t="shared" si="55"/>
        <v>1.0926199633094526E-2</v>
      </c>
      <c r="I276">
        <f t="shared" si="47"/>
        <v>78.116935358476468</v>
      </c>
      <c r="J276">
        <f t="shared" si="48"/>
        <v>0.70720334946563534</v>
      </c>
      <c r="K276">
        <f t="shared" si="60"/>
        <v>0.45066297365765501</v>
      </c>
      <c r="L276">
        <f t="shared" si="49"/>
        <v>55.244558335505083</v>
      </c>
      <c r="M276">
        <f t="shared" si="56"/>
        <v>55.242720140930771</v>
      </c>
      <c r="N276">
        <f t="shared" si="59"/>
        <v>8.1575993588497708E-3</v>
      </c>
    </row>
    <row r="277" spans="1:14" x14ac:dyDescent="0.25">
      <c r="A277">
        <f t="shared" si="57"/>
        <v>273</v>
      </c>
      <c r="B277">
        <f t="shared" si="58"/>
        <v>6.8250000000000047E-2</v>
      </c>
      <c r="C277">
        <f t="shared" si="50"/>
        <v>0.42882739721500707</v>
      </c>
      <c r="D277">
        <f t="shared" si="51"/>
        <v>0.52249856471593703</v>
      </c>
      <c r="E277">
        <f t="shared" si="52"/>
        <v>2.6176948307859951E-2</v>
      </c>
      <c r="F277">
        <f t="shared" si="53"/>
        <v>1.3677417919500102E-2</v>
      </c>
      <c r="G277">
        <f t="shared" si="54"/>
        <v>0.27300475013021425</v>
      </c>
      <c r="H277">
        <f t="shared" si="55"/>
        <v>6.8523262271237193E-4</v>
      </c>
      <c r="I277">
        <f t="shared" ref="I277:I340" si="61">SQRT(SUM(G197:G277)/80)</f>
        <v>78.046729389880241</v>
      </c>
      <c r="J277">
        <f t="shared" ref="J277:J340" si="62">SQRT(SUM(H197:H277)/80)</f>
        <v>0.7071128378185364</v>
      </c>
      <c r="K277">
        <f t="shared" si="60"/>
        <v>0.45167499526429683</v>
      </c>
      <c r="L277">
        <f t="shared" ref="L277:L340" si="63">I277*J277</f>
        <v>55.187844301333584</v>
      </c>
      <c r="M277">
        <f t="shared" si="56"/>
        <v>55.185995943961096</v>
      </c>
      <c r="N277">
        <f t="shared" si="59"/>
        <v>8.1843203151419769E-3</v>
      </c>
    </row>
    <row r="278" spans="1:14" x14ac:dyDescent="0.25">
      <c r="A278">
        <f t="shared" si="57"/>
        <v>274</v>
      </c>
      <c r="B278">
        <f t="shared" si="58"/>
        <v>6.8500000000000047E-2</v>
      </c>
      <c r="C278">
        <f t="shared" si="50"/>
        <v>0.43039819354180198</v>
      </c>
      <c r="D278">
        <f t="shared" si="51"/>
        <v>0.45399049973953409</v>
      </c>
      <c r="E278">
        <f t="shared" si="52"/>
        <v>-5.2335956242957463E-2</v>
      </c>
      <c r="F278">
        <f t="shared" si="53"/>
        <v>-2.3760026929086648E-2</v>
      </c>
      <c r="G278">
        <f t="shared" si="54"/>
        <v>0.20610737385375191</v>
      </c>
      <c r="H278">
        <f t="shared" si="55"/>
        <v>2.739052315864758E-3</v>
      </c>
      <c r="I278">
        <f t="shared" si="61"/>
        <v>77.981880846100253</v>
      </c>
      <c r="J278">
        <f t="shared" si="62"/>
        <v>0.7071309908029404</v>
      </c>
      <c r="K278">
        <f t="shared" si="60"/>
        <v>0.45222748927151735</v>
      </c>
      <c r="L278">
        <f t="shared" si="63"/>
        <v>55.143404667379713</v>
      </c>
      <c r="M278">
        <f t="shared" si="56"/>
        <v>55.141550292028803</v>
      </c>
      <c r="N278">
        <f t="shared" si="59"/>
        <v>8.2009352160845855E-3</v>
      </c>
    </row>
    <row r="279" spans="1:14" x14ac:dyDescent="0.25">
      <c r="A279">
        <f t="shared" si="57"/>
        <v>275</v>
      </c>
      <c r="B279">
        <f t="shared" si="58"/>
        <v>6.8750000000000047E-2</v>
      </c>
      <c r="C279">
        <f t="shared" si="50"/>
        <v>0.43196898986859683</v>
      </c>
      <c r="D279">
        <f t="shared" si="51"/>
        <v>0.38268343236507618</v>
      </c>
      <c r="E279">
        <f t="shared" si="52"/>
        <v>-0.13052619222006556</v>
      </c>
      <c r="F279">
        <f t="shared" si="53"/>
        <v>-4.995021125231839E-2</v>
      </c>
      <c r="G279">
        <f t="shared" si="54"/>
        <v>0.14644660940671583</v>
      </c>
      <c r="H279">
        <f t="shared" si="55"/>
        <v>1.7037086855469504E-2</v>
      </c>
      <c r="I279">
        <f t="shared" si="61"/>
        <v>77.924001756023557</v>
      </c>
      <c r="J279">
        <f t="shared" si="62"/>
        <v>0.70725735315067118</v>
      </c>
      <c r="K279">
        <f t="shared" si="60"/>
        <v>0.45230685144323635</v>
      </c>
      <c r="L279">
        <f t="shared" si="63"/>
        <v>55.112323228873471</v>
      </c>
      <c r="M279">
        <f t="shared" si="56"/>
        <v>55.110467156393838</v>
      </c>
      <c r="N279">
        <f t="shared" si="59"/>
        <v>8.2070002667982561E-3</v>
      </c>
    </row>
    <row r="280" spans="1:14" x14ac:dyDescent="0.25">
      <c r="A280">
        <f t="shared" si="57"/>
        <v>276</v>
      </c>
      <c r="B280">
        <f t="shared" si="58"/>
        <v>6.9000000000000047E-2</v>
      </c>
      <c r="C280">
        <f t="shared" si="50"/>
        <v>0.43353978619539174</v>
      </c>
      <c r="D280">
        <f t="shared" si="51"/>
        <v>0.30901699437493302</v>
      </c>
      <c r="E280">
        <f t="shared" si="52"/>
        <v>-0.20791169081777355</v>
      </c>
      <c r="F280">
        <f t="shared" si="53"/>
        <v>-6.4248245791918748E-2</v>
      </c>
      <c r="G280">
        <f t="shared" si="54"/>
        <v>9.5491502812517379E-2</v>
      </c>
      <c r="H280">
        <f t="shared" si="55"/>
        <v>4.3227271178705465E-2</v>
      </c>
      <c r="I280">
        <f t="shared" si="61"/>
        <v>77.87453428304012</v>
      </c>
      <c r="J280">
        <f t="shared" si="62"/>
        <v>0.70748875672319611</v>
      </c>
      <c r="K280">
        <f t="shared" si="60"/>
        <v>0.45191112761939817</v>
      </c>
      <c r="L280">
        <f t="shared" si="63"/>
        <v>55.095357440305968</v>
      </c>
      <c r="M280">
        <f t="shared" si="56"/>
        <v>55.093504043651208</v>
      </c>
      <c r="N280">
        <f t="shared" si="59"/>
        <v>8.2023449636211034E-3</v>
      </c>
    </row>
    <row r="281" spans="1:14" x14ac:dyDescent="0.25">
      <c r="A281">
        <f t="shared" si="57"/>
        <v>277</v>
      </c>
      <c r="B281">
        <f t="shared" si="58"/>
        <v>6.9250000000000048E-2</v>
      </c>
      <c r="C281">
        <f t="shared" si="50"/>
        <v>0.43511058252218665</v>
      </c>
      <c r="D281">
        <f t="shared" si="51"/>
        <v>0.23344536385589026</v>
      </c>
      <c r="E281">
        <f t="shared" si="52"/>
        <v>-0.28401534470393697</v>
      </c>
      <c r="F281">
        <f t="shared" si="53"/>
        <v>-6.6302065485066661E-2</v>
      </c>
      <c r="G281">
        <f t="shared" si="54"/>
        <v>5.4496737905808994E-2</v>
      </c>
      <c r="H281">
        <f t="shared" si="55"/>
        <v>8.0664716027296135E-2</v>
      </c>
      <c r="I281">
        <f t="shared" si="61"/>
        <v>77.83471353842225</v>
      </c>
      <c r="J281">
        <f t="shared" si="62"/>
        <v>0.70781940419173395</v>
      </c>
      <c r="K281">
        <f t="shared" si="60"/>
        <v>0.4510500618338778</v>
      </c>
      <c r="L281">
        <f t="shared" si="63"/>
        <v>55.092920562200327</v>
      </c>
      <c r="M281">
        <f t="shared" si="56"/>
        <v>55.091074140142112</v>
      </c>
      <c r="N281">
        <f t="shared" si="59"/>
        <v>8.1870784345992129E-3</v>
      </c>
    </row>
    <row r="282" spans="1:14" x14ac:dyDescent="0.25">
      <c r="A282">
        <f t="shared" si="57"/>
        <v>278</v>
      </c>
      <c r="B282">
        <f t="shared" si="58"/>
        <v>6.9500000000000048E-2</v>
      </c>
      <c r="C282">
        <f t="shared" si="50"/>
        <v>0.43668137884898156</v>
      </c>
      <c r="D282">
        <f t="shared" si="51"/>
        <v>0.15643446504021505</v>
      </c>
      <c r="E282">
        <f t="shared" si="52"/>
        <v>-0.35836794954531465</v>
      </c>
      <c r="F282">
        <f t="shared" si="53"/>
        <v>-5.6061098474680077E-2</v>
      </c>
      <c r="G282">
        <f t="shared" si="54"/>
        <v>2.4471741852418263E-2</v>
      </c>
      <c r="H282">
        <f t="shared" si="55"/>
        <v>0.12842758726131318</v>
      </c>
      <c r="I282">
        <f t="shared" si="61"/>
        <v>77.805535477594233</v>
      </c>
      <c r="J282">
        <f t="shared" si="62"/>
        <v>0.70824102171560666</v>
      </c>
      <c r="K282">
        <f t="shared" si="60"/>
        <v>0.44974485638402817</v>
      </c>
      <c r="L282">
        <f t="shared" si="63"/>
        <v>55.105071941781219</v>
      </c>
      <c r="M282">
        <f t="shared" si="56"/>
        <v>55.103236595258544</v>
      </c>
      <c r="N282">
        <f t="shared" si="59"/>
        <v>8.161587319206947E-3</v>
      </c>
    </row>
    <row r="283" spans="1:14" x14ac:dyDescent="0.25">
      <c r="A283">
        <f t="shared" si="57"/>
        <v>279</v>
      </c>
      <c r="B283">
        <f t="shared" si="58"/>
        <v>6.9750000000000048E-2</v>
      </c>
      <c r="C283">
        <f t="shared" si="50"/>
        <v>0.43825217517577642</v>
      </c>
      <c r="D283">
        <f t="shared" si="51"/>
        <v>7.8459095727832079E-2</v>
      </c>
      <c r="E283">
        <f t="shared" si="52"/>
        <v>-0.43051109680830624</v>
      </c>
      <c r="F283">
        <f t="shared" si="53"/>
        <v>-3.3777511356376883E-2</v>
      </c>
      <c r="G283">
        <f t="shared" si="54"/>
        <v>6.1558297024291182E-3</v>
      </c>
      <c r="H283">
        <f t="shared" si="55"/>
        <v>0.18533980447509082</v>
      </c>
      <c r="I283">
        <f t="shared" si="61"/>
        <v>77.787730840039856</v>
      </c>
      <c r="J283">
        <f t="shared" si="62"/>
        <v>0.70874307584338259</v>
      </c>
      <c r="K283">
        <f t="shared" si="60"/>
        <v>0.44802764975975318</v>
      </c>
      <c r="L283">
        <f t="shared" si="63"/>
        <v>55.131515618446997</v>
      </c>
      <c r="M283">
        <f t="shared" si="56"/>
        <v>55.129695134402077</v>
      </c>
      <c r="N283">
        <f t="shared" si="59"/>
        <v>8.1265251777305238E-3</v>
      </c>
    </row>
    <row r="284" spans="1:14" x14ac:dyDescent="0.25">
      <c r="A284">
        <f t="shared" si="57"/>
        <v>280</v>
      </c>
      <c r="B284">
        <f t="shared" si="58"/>
        <v>7.0000000000000048E-2</v>
      </c>
      <c r="C284">
        <f t="shared" si="50"/>
        <v>0.43982297150257132</v>
      </c>
      <c r="D284">
        <f t="shared" si="51"/>
        <v>-1.335325079676597E-14</v>
      </c>
      <c r="E284">
        <f t="shared" si="52"/>
        <v>-0.50000000000001099</v>
      </c>
      <c r="F284">
        <f t="shared" si="53"/>
        <v>6.6766253983831316E-15</v>
      </c>
      <c r="G284">
        <f t="shared" si="54"/>
        <v>1.78309306841331E-28</v>
      </c>
      <c r="H284">
        <f t="shared" si="55"/>
        <v>0.25000000000001099</v>
      </c>
      <c r="I284">
        <f t="shared" si="61"/>
        <v>77.781745930520202</v>
      </c>
      <c r="J284">
        <f t="shared" si="62"/>
        <v>0.7093130479555555</v>
      </c>
      <c r="K284">
        <f t="shared" si="60"/>
        <v>0.44594072528722445</v>
      </c>
      <c r="L284">
        <f t="shared" si="63"/>
        <v>55.171607281281908</v>
      </c>
      <c r="M284">
        <f t="shared" si="56"/>
        <v>55.169805028380594</v>
      </c>
      <c r="N284">
        <f t="shared" si="59"/>
        <v>8.0827938003270559E-3</v>
      </c>
    </row>
    <row r="285" spans="1:14" x14ac:dyDescent="0.25">
      <c r="A285">
        <f t="shared" si="57"/>
        <v>281</v>
      </c>
      <c r="B285">
        <f t="shared" si="58"/>
        <v>7.0250000000000049E-2</v>
      </c>
      <c r="C285">
        <f t="shared" si="50"/>
        <v>0.44139376782936623</v>
      </c>
      <c r="D285">
        <f t="shared" si="51"/>
        <v>-7.8459095727858696E-2</v>
      </c>
      <c r="E285">
        <f t="shared" si="52"/>
        <v>-0.56640623692484371</v>
      </c>
      <c r="F285">
        <f t="shared" si="53"/>
        <v>4.4439721163742528E-2</v>
      </c>
      <c r="G285">
        <f t="shared" si="54"/>
        <v>6.1558297024332945E-3</v>
      </c>
      <c r="H285">
        <f t="shared" si="55"/>
        <v>0.32081602522736219</v>
      </c>
      <c r="I285">
        <f t="shared" si="61"/>
        <v>77.78773084003987</v>
      </c>
      <c r="J285">
        <f t="shared" si="62"/>
        <v>0.70993675796886457</v>
      </c>
      <c r="K285">
        <f t="shared" si="60"/>
        <v>0.44353546997306093</v>
      </c>
      <c r="L285">
        <f t="shared" si="63"/>
        <v>55.224369442332566</v>
      </c>
      <c r="M285">
        <f t="shared" si="56"/>
        <v>55.222588282242896</v>
      </c>
      <c r="N285">
        <f t="shared" si="59"/>
        <v>8.0315171445500683E-3</v>
      </c>
    </row>
    <row r="286" spans="1:14" x14ac:dyDescent="0.25">
      <c r="A286">
        <f t="shared" si="57"/>
        <v>282</v>
      </c>
      <c r="B286">
        <f t="shared" si="58"/>
        <v>7.0500000000000049E-2</v>
      </c>
      <c r="C286">
        <f t="shared" si="50"/>
        <v>0.44296456415616114</v>
      </c>
      <c r="D286">
        <f t="shared" si="51"/>
        <v>-0.15643446504024494</v>
      </c>
      <c r="E286">
        <f t="shared" si="52"/>
        <v>-0.62932039104984805</v>
      </c>
      <c r="F286">
        <f t="shared" si="53"/>
        <v>9.8447398712800727E-2</v>
      </c>
      <c r="G286">
        <f t="shared" si="54"/>
        <v>2.4471741852427616E-2</v>
      </c>
      <c r="H286">
        <f t="shared" si="55"/>
        <v>0.39604415459113368</v>
      </c>
      <c r="I286">
        <f t="shared" si="61"/>
        <v>77.805535477594248</v>
      </c>
      <c r="J286">
        <f t="shared" si="62"/>
        <v>0.71059872778692013</v>
      </c>
      <c r="K286">
        <f t="shared" si="60"/>
        <v>0.44087110918568218</v>
      </c>
      <c r="L286">
        <f t="shared" si="63"/>
        <v>55.288514525158554</v>
      </c>
      <c r="M286">
        <f t="shared" si="56"/>
        <v>55.286756742132681</v>
      </c>
      <c r="N286">
        <f t="shared" si="59"/>
        <v>7.9740089414966579E-3</v>
      </c>
    </row>
    <row r="287" spans="1:14" x14ac:dyDescent="0.25">
      <c r="A287">
        <f t="shared" si="57"/>
        <v>283</v>
      </c>
      <c r="B287">
        <f t="shared" si="58"/>
        <v>7.0750000000000049E-2</v>
      </c>
      <c r="C287">
        <f t="shared" si="50"/>
        <v>0.44453536048295605</v>
      </c>
      <c r="D287">
        <f t="shared" si="51"/>
        <v>-0.23344536385591969</v>
      </c>
      <c r="E287">
        <f t="shared" si="52"/>
        <v>-0.68835457569376424</v>
      </c>
      <c r="F287">
        <f t="shared" si="53"/>
        <v>0.160693184384718</v>
      </c>
      <c r="G287">
        <f t="shared" si="54"/>
        <v>5.4496737905822733E-2</v>
      </c>
      <c r="H287">
        <f t="shared" si="55"/>
        <v>0.47383202187854218</v>
      </c>
      <c r="I287">
        <f t="shared" si="61"/>
        <v>77.83471353842225</v>
      </c>
      <c r="J287">
        <f t="shared" si="62"/>
        <v>0.71128257413877494</v>
      </c>
      <c r="K287">
        <f t="shared" si="60"/>
        <v>0.43801324833017974</v>
      </c>
      <c r="L287">
        <f t="shared" si="63"/>
        <v>55.362475402963135</v>
      </c>
      <c r="M287">
        <f t="shared" si="56"/>
        <v>55.360742653418093</v>
      </c>
      <c r="N287">
        <f t="shared" si="59"/>
        <v>7.9117352528412441E-3</v>
      </c>
    </row>
    <row r="288" spans="1:14" x14ac:dyDescent="0.25">
      <c r="A288">
        <f t="shared" si="57"/>
        <v>284</v>
      </c>
      <c r="B288">
        <f t="shared" si="58"/>
        <v>7.1000000000000049E-2</v>
      </c>
      <c r="C288">
        <f t="shared" si="50"/>
        <v>0.44610615680975091</v>
      </c>
      <c r="D288">
        <f t="shared" si="51"/>
        <v>-0.30901699437496183</v>
      </c>
      <c r="E288">
        <f t="shared" si="52"/>
        <v>-0.7431448254774039</v>
      </c>
      <c r="F288">
        <f t="shared" si="53"/>
        <v>0.22964438035433291</v>
      </c>
      <c r="G288">
        <f t="shared" si="54"/>
        <v>9.5491502812535184E-2</v>
      </c>
      <c r="H288">
        <f t="shared" si="55"/>
        <v>0.55226423163384109</v>
      </c>
      <c r="I288">
        <f t="shared" si="61"/>
        <v>77.874534283040134</v>
      </c>
      <c r="J288">
        <f t="shared" si="62"/>
        <v>0.71197141999902158</v>
      </c>
      <c r="K288">
        <f t="shared" si="60"/>
        <v>0.43503225742551266</v>
      </c>
      <c r="L288">
        <f t="shared" si="63"/>
        <v>55.444442755258571</v>
      </c>
      <c r="M288">
        <f t="shared" si="56"/>
        <v>55.442736037971144</v>
      </c>
      <c r="N288">
        <f t="shared" si="59"/>
        <v>7.8462734190660154E-3</v>
      </c>
    </row>
    <row r="289" spans="1:14" x14ac:dyDescent="0.25">
      <c r="A289">
        <f t="shared" si="57"/>
        <v>285</v>
      </c>
      <c r="B289">
        <f t="shared" si="58"/>
        <v>7.1250000000000049E-2</v>
      </c>
      <c r="C289">
        <f t="shared" si="50"/>
        <v>0.44767695313654582</v>
      </c>
      <c r="D289">
        <f t="shared" si="51"/>
        <v>-0.38268343236510416</v>
      </c>
      <c r="E289">
        <f t="shared" si="52"/>
        <v>-0.79335334029124427</v>
      </c>
      <c r="F289">
        <f t="shared" si="53"/>
        <v>0.30360317934097386</v>
      </c>
      <c r="G289">
        <f t="shared" si="54"/>
        <v>0.14644660940673726</v>
      </c>
      <c r="H289">
        <f t="shared" si="55"/>
        <v>0.6294095225512748</v>
      </c>
      <c r="I289">
        <f t="shared" si="61"/>
        <v>77.924001756023586</v>
      </c>
      <c r="J289">
        <f t="shared" si="62"/>
        <v>0.71264831370872628</v>
      </c>
      <c r="K289">
        <f t="shared" si="60"/>
        <v>0.43200153836109528</v>
      </c>
      <c r="L289">
        <f t="shared" si="63"/>
        <v>55.532408448866036</v>
      </c>
      <c r="M289">
        <f t="shared" si="56"/>
        <v>55.530728095375643</v>
      </c>
      <c r="N289">
        <f t="shared" si="59"/>
        <v>7.7792689067120177E-3</v>
      </c>
    </row>
    <row r="290" spans="1:14" x14ac:dyDescent="0.25">
      <c r="A290">
        <f t="shared" si="57"/>
        <v>286</v>
      </c>
      <c r="B290">
        <f t="shared" si="58"/>
        <v>7.150000000000005E-2</v>
      </c>
      <c r="C290">
        <f t="shared" si="50"/>
        <v>0.44924774946334073</v>
      </c>
      <c r="D290">
        <f t="shared" si="51"/>
        <v>-0.45399049973956107</v>
      </c>
      <c r="E290">
        <f t="shared" si="52"/>
        <v>-0.83867056794543238</v>
      </c>
      <c r="F290">
        <f t="shared" si="53"/>
        <v>0.38074847025840836</v>
      </c>
      <c r="G290">
        <f t="shared" si="54"/>
        <v>0.20610737385377639</v>
      </c>
      <c r="H290">
        <f t="shared" si="55"/>
        <v>0.70336832153791407</v>
      </c>
      <c r="I290">
        <f t="shared" si="61"/>
        <v>77.981880846100267</v>
      </c>
      <c r="J290">
        <f t="shared" si="62"/>
        <v>0.7132966451759214</v>
      </c>
      <c r="K290">
        <f t="shared" si="60"/>
        <v>0.4289957174986736</v>
      </c>
      <c r="L290">
        <f t="shared" si="63"/>
        <v>55.624213992031763</v>
      </c>
      <c r="M290">
        <f t="shared" si="56"/>
        <v>55.622559675959806</v>
      </c>
      <c r="N290">
        <f t="shared" si="59"/>
        <v>7.7123915415708661E-3</v>
      </c>
    </row>
    <row r="291" spans="1:14" x14ac:dyDescent="0.25">
      <c r="A291">
        <f t="shared" si="57"/>
        <v>287</v>
      </c>
      <c r="B291">
        <f t="shared" si="58"/>
        <v>7.175000000000005E-2</v>
      </c>
      <c r="C291">
        <f t="shared" si="50"/>
        <v>0.45081854579013564</v>
      </c>
      <c r="D291">
        <f t="shared" si="51"/>
        <v>-0.5224985647159629</v>
      </c>
      <c r="E291">
        <f t="shared" si="52"/>
        <v>-0.87881711266197293</v>
      </c>
      <c r="F291">
        <f t="shared" si="53"/>
        <v>0.45918068001370754</v>
      </c>
      <c r="G291">
        <f t="shared" si="54"/>
        <v>0.27300475013024128</v>
      </c>
      <c r="H291">
        <f t="shared" si="55"/>
        <v>0.77231951750752681</v>
      </c>
      <c r="I291">
        <f t="shared" si="61"/>
        <v>78.046729389880241</v>
      </c>
      <c r="J291">
        <f t="shared" si="62"/>
        <v>0.71390054907448031</v>
      </c>
      <c r="K291">
        <f t="shared" si="60"/>
        <v>0.42608880812362787</v>
      </c>
      <c r="L291">
        <f t="shared" si="63"/>
        <v>55.717602964902881</v>
      </c>
      <c r="M291">
        <f t="shared" si="56"/>
        <v>55.715973728206045</v>
      </c>
      <c r="N291">
        <f t="shared" si="59"/>
        <v>7.6472925152940591E-3</v>
      </c>
    </row>
    <row r="292" spans="1:14" x14ac:dyDescent="0.25">
      <c r="A292">
        <f t="shared" si="57"/>
        <v>288</v>
      </c>
      <c r="B292">
        <f t="shared" si="58"/>
        <v>7.200000000000005E-2</v>
      </c>
      <c r="C292">
        <f t="shared" si="50"/>
        <v>0.45238934211693055</v>
      </c>
      <c r="D292">
        <f t="shared" si="51"/>
        <v>-0.58778525229248679</v>
      </c>
      <c r="E292">
        <f t="shared" si="52"/>
        <v>-0.91354545764260753</v>
      </c>
      <c r="F292">
        <f t="shared" si="53"/>
        <v>0.53696854730111532</v>
      </c>
      <c r="G292">
        <f t="shared" si="54"/>
        <v>0.34549150281254237</v>
      </c>
      <c r="H292">
        <f t="shared" si="55"/>
        <v>0.83456530317944122</v>
      </c>
      <c r="I292">
        <f t="shared" si="61"/>
        <v>78.116935358476496</v>
      </c>
      <c r="J292">
        <f t="shared" si="62"/>
        <v>0.71444528572154731</v>
      </c>
      <c r="K292">
        <f t="shared" si="60"/>
        <v>0.42335238799225072</v>
      </c>
      <c r="L292">
        <f t="shared" si="63"/>
        <v>55.810276201878381</v>
      </c>
      <c r="M292">
        <f t="shared" si="56"/>
        <v>55.808670495591755</v>
      </c>
      <c r="N292">
        <f t="shared" si="59"/>
        <v>7.5855633908868229E-3</v>
      </c>
    </row>
    <row r="293" spans="1:14" x14ac:dyDescent="0.25">
      <c r="A293">
        <f t="shared" si="57"/>
        <v>289</v>
      </c>
      <c r="B293">
        <f t="shared" si="58"/>
        <v>7.225000000000005E-2</v>
      </c>
      <c r="C293">
        <f t="shared" si="50"/>
        <v>0.4539601384437254</v>
      </c>
      <c r="D293">
        <f t="shared" si="51"/>
        <v>-0.64944804833019409</v>
      </c>
      <c r="E293">
        <f t="shared" si="52"/>
        <v>-0.94264149109218276</v>
      </c>
      <c r="F293">
        <f t="shared" si="53"/>
        <v>0.61219667666488209</v>
      </c>
      <c r="G293">
        <f t="shared" si="54"/>
        <v>0.42178276747989812</v>
      </c>
      <c r="H293">
        <f t="shared" si="55"/>
        <v>0.88857298072849367</v>
      </c>
      <c r="I293">
        <f t="shared" si="61"/>
        <v>78.190758044549824</v>
      </c>
      <c r="J293">
        <f t="shared" si="62"/>
        <v>0.71491759123629517</v>
      </c>
      <c r="K293">
        <f t="shared" si="60"/>
        <v>0.42085383684983463</v>
      </c>
      <c r="L293">
        <f t="shared" si="63"/>
        <v>55.899948398149526</v>
      </c>
      <c r="M293">
        <f t="shared" si="56"/>
        <v>55.898364134952899</v>
      </c>
      <c r="N293">
        <f t="shared" si="59"/>
        <v>7.5286981278101907E-3</v>
      </c>
    </row>
    <row r="294" spans="1:14" x14ac:dyDescent="0.25">
      <c r="A294">
        <f t="shared" si="57"/>
        <v>290</v>
      </c>
      <c r="B294">
        <f t="shared" si="58"/>
        <v>7.2500000000000051E-2</v>
      </c>
      <c r="C294">
        <f t="shared" si="50"/>
        <v>0.45553093477052031</v>
      </c>
      <c r="D294">
        <f t="shared" si="51"/>
        <v>-0.70710678118655756</v>
      </c>
      <c r="E294">
        <f t="shared" si="52"/>
        <v>-0.96592582628907175</v>
      </c>
      <c r="F294">
        <f t="shared" si="53"/>
        <v>0.68301270189223151</v>
      </c>
      <c r="G294">
        <f t="shared" si="54"/>
        <v>0.50000000000001421</v>
      </c>
      <c r="H294">
        <f t="shared" si="55"/>
        <v>0.93301270189222607</v>
      </c>
      <c r="I294">
        <f t="shared" si="61"/>
        <v>78.266372089167405</v>
      </c>
      <c r="J294">
        <f t="shared" si="62"/>
        <v>0.71530598961119651</v>
      </c>
      <c r="K294">
        <f t="shared" si="60"/>
        <v>0.4186546773177216</v>
      </c>
      <c r="L294">
        <f t="shared" si="63"/>
        <v>55.98440474052002</v>
      </c>
      <c r="M294">
        <f t="shared" si="56"/>
        <v>55.982839356462804</v>
      </c>
      <c r="N294">
        <f t="shared" si="59"/>
        <v>7.4780589211965046E-3</v>
      </c>
    </row>
    <row r="295" spans="1:14" x14ac:dyDescent="0.25">
      <c r="A295">
        <f t="shared" si="57"/>
        <v>291</v>
      </c>
      <c r="B295">
        <f t="shared" si="58"/>
        <v>7.2750000000000051E-2</v>
      </c>
      <c r="C295">
        <f t="shared" si="50"/>
        <v>0.45710173109731522</v>
      </c>
      <c r="D295">
        <f t="shared" si="51"/>
        <v>-0.76040596560004048</v>
      </c>
      <c r="E295">
        <f t="shared" si="52"/>
        <v>-0.98325490756395717</v>
      </c>
      <c r="F295">
        <f t="shared" si="53"/>
        <v>0.74767289741714937</v>
      </c>
      <c r="G295">
        <f t="shared" si="54"/>
        <v>0.57821723252012991</v>
      </c>
      <c r="H295">
        <f t="shared" si="55"/>
        <v>0.96679021324860592</v>
      </c>
      <c r="I295">
        <f t="shared" si="61"/>
        <v>78.341913152658393</v>
      </c>
      <c r="J295">
        <f t="shared" si="62"/>
        <v>0.71560106041397675</v>
      </c>
      <c r="K295">
        <f t="shared" si="60"/>
        <v>0.41680906000218421</v>
      </c>
      <c r="L295">
        <f t="shared" si="63"/>
        <v>56.061556126902019</v>
      </c>
      <c r="M295">
        <f t="shared" si="56"/>
        <v>56.060006649814845</v>
      </c>
      <c r="N295">
        <f t="shared" si="59"/>
        <v>7.4348464223627179E-3</v>
      </c>
    </row>
    <row r="296" spans="1:14" x14ac:dyDescent="0.25">
      <c r="A296">
        <f t="shared" si="57"/>
        <v>292</v>
      </c>
      <c r="B296">
        <f t="shared" si="58"/>
        <v>7.3000000000000051E-2</v>
      </c>
      <c r="C296">
        <f t="shared" si="50"/>
        <v>0.45867252742411013</v>
      </c>
      <c r="D296">
        <f t="shared" si="51"/>
        <v>-0.80901699437495633</v>
      </c>
      <c r="E296">
        <f t="shared" si="52"/>
        <v>-0.99452189536827484</v>
      </c>
      <c r="F296">
        <f t="shared" si="53"/>
        <v>0.80458511463092652</v>
      </c>
      <c r="G296">
        <f t="shared" si="54"/>
        <v>0.65450849718748816</v>
      </c>
      <c r="H296">
        <f t="shared" si="55"/>
        <v>0.98907380036690584</v>
      </c>
      <c r="I296">
        <f t="shared" si="61"/>
        <v>78.415524038289817</v>
      </c>
      <c r="J296">
        <f t="shared" si="62"/>
        <v>0.71579565694727909</v>
      </c>
      <c r="K296">
        <f t="shared" si="60"/>
        <v>0.41536243012678387</v>
      </c>
      <c r="L296">
        <f t="shared" si="63"/>
        <v>56.129491543852815</v>
      </c>
      <c r="M296">
        <f t="shared" si="56"/>
        <v>56.127954666307623</v>
      </c>
      <c r="N296">
        <f t="shared" si="59"/>
        <v>7.4000746969580108E-3</v>
      </c>
    </row>
    <row r="297" spans="1:14" x14ac:dyDescent="0.25">
      <c r="A297">
        <f t="shared" si="57"/>
        <v>293</v>
      </c>
      <c r="B297">
        <f t="shared" si="58"/>
        <v>7.3250000000000051E-2</v>
      </c>
      <c r="C297">
        <f t="shared" si="50"/>
        <v>0.46024332375090499</v>
      </c>
      <c r="D297">
        <f t="shared" si="51"/>
        <v>-0.85264016435410028</v>
      </c>
      <c r="E297">
        <f t="shared" si="52"/>
        <v>-0.9996573249755577</v>
      </c>
      <c r="F297">
        <f t="shared" si="53"/>
        <v>0.85234798586493976</v>
      </c>
      <c r="G297">
        <f t="shared" si="54"/>
        <v>0.72699524986978714</v>
      </c>
      <c r="H297">
        <f t="shared" si="55"/>
        <v>0.99931476737728775</v>
      </c>
      <c r="I297">
        <f t="shared" si="61"/>
        <v>78.48540011710972</v>
      </c>
      <c r="J297">
        <f t="shared" si="62"/>
        <v>0.71588507079853014</v>
      </c>
      <c r="K297">
        <f t="shared" si="60"/>
        <v>0.4143504085201421</v>
      </c>
      <c r="L297">
        <f t="shared" si="63"/>
        <v>56.186526219488059</v>
      </c>
      <c r="M297">
        <f t="shared" si="56"/>
        <v>56.184998374585525</v>
      </c>
      <c r="N297">
        <f t="shared" si="59"/>
        <v>7.3745510961385329E-3</v>
      </c>
    </row>
    <row r="298" spans="1:14" x14ac:dyDescent="0.25">
      <c r="A298">
        <f t="shared" si="57"/>
        <v>294</v>
      </c>
      <c r="B298">
        <f t="shared" si="58"/>
        <v>7.3500000000000051E-2</v>
      </c>
      <c r="C298">
        <f t="shared" si="50"/>
        <v>0.4618141200776999</v>
      </c>
      <c r="D298">
        <f t="shared" si="51"/>
        <v>-0.89100652418837512</v>
      </c>
      <c r="E298">
        <f t="shared" si="52"/>
        <v>-0.99862953475457306</v>
      </c>
      <c r="F298">
        <f t="shared" si="53"/>
        <v>0.88978543071352634</v>
      </c>
      <c r="G298">
        <f t="shared" si="54"/>
        <v>0.79389262614624945</v>
      </c>
      <c r="H298">
        <f t="shared" si="55"/>
        <v>0.99726094768413509</v>
      </c>
      <c r="I298">
        <f t="shared" si="61"/>
        <v>78.549832970571117</v>
      </c>
      <c r="J298">
        <f t="shared" si="62"/>
        <v>0.71586713980043248</v>
      </c>
      <c r="K298">
        <f t="shared" si="60"/>
        <v>0.41379791451292164</v>
      </c>
      <c r="L298">
        <f t="shared" si="63"/>
        <v>56.231244260444456</v>
      </c>
      <c r="M298">
        <f t="shared" si="56"/>
        <v>56.229721699148683</v>
      </c>
      <c r="N298">
        <f t="shared" si="59"/>
        <v>7.3588610736825787E-3</v>
      </c>
    </row>
    <row r="299" spans="1:14" x14ac:dyDescent="0.25">
      <c r="A299">
        <f t="shared" si="57"/>
        <v>295</v>
      </c>
      <c r="B299">
        <f t="shared" si="58"/>
        <v>7.3750000000000052E-2</v>
      </c>
      <c r="C299">
        <f t="shared" si="50"/>
        <v>0.46338491640449481</v>
      </c>
      <c r="D299">
        <f t="shared" si="51"/>
        <v>-0.92387953251129307</v>
      </c>
      <c r="E299">
        <f t="shared" si="52"/>
        <v>-0.99144486137380838</v>
      </c>
      <c r="F299">
        <f t="shared" si="53"/>
        <v>0.91597561503675784</v>
      </c>
      <c r="G299">
        <f t="shared" si="54"/>
        <v>0.85355339059328539</v>
      </c>
      <c r="H299">
        <f t="shared" si="55"/>
        <v>0.9829629131445301</v>
      </c>
      <c r="I299">
        <f t="shared" si="61"/>
        <v>78.607251257929349</v>
      </c>
      <c r="J299">
        <f t="shared" si="62"/>
        <v>0.71574229748863305</v>
      </c>
      <c r="K299">
        <f t="shared" si="60"/>
        <v>0.41371855234120253</v>
      </c>
      <c r="L299">
        <f t="shared" si="63"/>
        <v>56.262534614616591</v>
      </c>
      <c r="M299">
        <f t="shared" si="56"/>
        <v>56.261013483764927</v>
      </c>
      <c r="N299">
        <f t="shared" si="59"/>
        <v>7.353357881493691E-3</v>
      </c>
    </row>
    <row r="300" spans="1:14" x14ac:dyDescent="0.25">
      <c r="A300">
        <f t="shared" si="57"/>
        <v>296</v>
      </c>
      <c r="B300">
        <f t="shared" si="58"/>
        <v>7.4000000000000052E-2</v>
      </c>
      <c r="C300">
        <f t="shared" si="50"/>
        <v>0.46495571273128972</v>
      </c>
      <c r="D300">
        <f t="shared" si="51"/>
        <v>-0.95105651629515875</v>
      </c>
      <c r="E300">
        <f t="shared" si="52"/>
        <v>-0.97814760073380225</v>
      </c>
      <c r="F300">
        <f t="shared" si="53"/>
        <v>0.93027364957635783</v>
      </c>
      <c r="G300">
        <f t="shared" si="54"/>
        <v>0.90450849718748361</v>
      </c>
      <c r="H300">
        <f t="shared" si="55"/>
        <v>0.95677272882129383</v>
      </c>
      <c r="I300">
        <f t="shared" si="61"/>
        <v>78.656257921411495</v>
      </c>
      <c r="J300">
        <f t="shared" si="62"/>
        <v>0.7155135631909898</v>
      </c>
      <c r="K300">
        <f t="shared" si="60"/>
        <v>0.41411427616504082</v>
      </c>
      <c r="L300">
        <f t="shared" si="63"/>
        <v>56.279619372618654</v>
      </c>
      <c r="M300">
        <f t="shared" si="56"/>
        <v>56.278095793062413</v>
      </c>
      <c r="N300">
        <f t="shared" si="59"/>
        <v>7.3581570163659821E-3</v>
      </c>
    </row>
    <row r="301" spans="1:14" x14ac:dyDescent="0.25">
      <c r="A301">
        <f t="shared" si="57"/>
        <v>297</v>
      </c>
      <c r="B301">
        <f t="shared" si="58"/>
        <v>7.4250000000000052E-2</v>
      </c>
      <c r="C301">
        <f t="shared" si="50"/>
        <v>0.46652650905808463</v>
      </c>
      <c r="D301">
        <f t="shared" si="51"/>
        <v>-0.97236992039768066</v>
      </c>
      <c r="E301">
        <f t="shared" si="52"/>
        <v>-0.95881973486818828</v>
      </c>
      <c r="F301">
        <f t="shared" si="53"/>
        <v>0.93232746926950549</v>
      </c>
      <c r="G301">
        <f t="shared" si="54"/>
        <v>0.94550326209419189</v>
      </c>
      <c r="H301">
        <f t="shared" si="55"/>
        <v>0.91933528397270281</v>
      </c>
      <c r="I301">
        <f t="shared" si="61"/>
        <v>78.695662957953076</v>
      </c>
      <c r="J301">
        <f t="shared" si="62"/>
        <v>0.71518647292133464</v>
      </c>
      <c r="K301">
        <f t="shared" si="60"/>
        <v>0.41497534195056124</v>
      </c>
      <c r="L301">
        <f t="shared" si="63"/>
        <v>56.282073625104587</v>
      </c>
      <c r="M301">
        <f t="shared" si="56"/>
        <v>56.28054376964802</v>
      </c>
      <c r="N301">
        <f t="shared" si="59"/>
        <v>7.3731352670961597E-3</v>
      </c>
    </row>
    <row r="302" spans="1:14" x14ac:dyDescent="0.25">
      <c r="A302">
        <f t="shared" si="57"/>
        <v>298</v>
      </c>
      <c r="B302">
        <f t="shared" si="58"/>
        <v>7.4500000000000052E-2</v>
      </c>
      <c r="C302">
        <f t="shared" si="50"/>
        <v>0.46809730538487948</v>
      </c>
      <c r="D302">
        <f t="shared" si="51"/>
        <v>-0.98768834059513999</v>
      </c>
      <c r="E302">
        <f t="shared" si="52"/>
        <v>-0.93358042649719686</v>
      </c>
      <c r="F302">
        <f t="shared" si="53"/>
        <v>0.92208650225911948</v>
      </c>
      <c r="G302">
        <f t="shared" si="54"/>
        <v>0.97552825814758126</v>
      </c>
      <c r="H302">
        <f t="shared" si="55"/>
        <v>0.87157241273868802</v>
      </c>
      <c r="I302">
        <f t="shared" si="61"/>
        <v>78.72451110705498</v>
      </c>
      <c r="J302">
        <f t="shared" si="62"/>
        <v>0.71476895229104198</v>
      </c>
      <c r="K302">
        <f t="shared" si="60"/>
        <v>0.41628054740041093</v>
      </c>
      <c r="L302">
        <f t="shared" si="63"/>
        <v>56.269836323614186</v>
      </c>
      <c r="M302">
        <f t="shared" si="56"/>
        <v>56.268296494493121</v>
      </c>
      <c r="N302">
        <f t="shared" si="59"/>
        <v>7.3979342148133235E-3</v>
      </c>
    </row>
    <row r="303" spans="1:14" x14ac:dyDescent="0.25">
      <c r="A303">
        <f t="shared" si="57"/>
        <v>299</v>
      </c>
      <c r="B303">
        <f t="shared" si="58"/>
        <v>7.4750000000000053E-2</v>
      </c>
      <c r="C303">
        <f t="shared" si="50"/>
        <v>0.46966810171167439</v>
      </c>
      <c r="D303">
        <f t="shared" si="51"/>
        <v>-0.99691733373312907</v>
      </c>
      <c r="E303">
        <f t="shared" si="52"/>
        <v>-0.90258528434985452</v>
      </c>
      <c r="F303">
        <f t="shared" si="53"/>
        <v>0.89980291514081512</v>
      </c>
      <c r="G303">
        <f t="shared" si="54"/>
        <v>0.99384417029757111</v>
      </c>
      <c r="H303">
        <f t="shared" si="55"/>
        <v>0.81466019552490776</v>
      </c>
      <c r="I303">
        <f t="shared" si="61"/>
        <v>78.742103926409726</v>
      </c>
      <c r="J303">
        <f t="shared" si="62"/>
        <v>0.71427113370488482</v>
      </c>
      <c r="K303">
        <f t="shared" si="60"/>
        <v>0.41799775402468592</v>
      </c>
      <c r="L303">
        <f t="shared" si="63"/>
        <v>56.243211841824539</v>
      </c>
      <c r="M303">
        <f t="shared" si="56"/>
        <v>56.241658547396902</v>
      </c>
      <c r="N303">
        <f t="shared" si="59"/>
        <v>7.431968060434402E-3</v>
      </c>
    </row>
    <row r="304" spans="1:14" x14ac:dyDescent="0.25">
      <c r="A304">
        <f t="shared" si="57"/>
        <v>300</v>
      </c>
      <c r="B304">
        <f t="shared" si="58"/>
        <v>7.5000000000000053E-2</v>
      </c>
      <c r="C304">
        <f t="shared" si="50"/>
        <v>0.4712388980384693</v>
      </c>
      <c r="D304">
        <f t="shared" si="51"/>
        <v>-1</v>
      </c>
      <c r="E304">
        <f t="shared" si="52"/>
        <v>-0.86602540378443138</v>
      </c>
      <c r="F304">
        <f t="shared" si="53"/>
        <v>0.86602540378443138</v>
      </c>
      <c r="G304">
        <f t="shared" si="54"/>
        <v>1</v>
      </c>
      <c r="H304">
        <f t="shared" si="55"/>
        <v>0.74999999999998745</v>
      </c>
      <c r="I304">
        <f t="shared" si="61"/>
        <v>78.748015848019961</v>
      </c>
      <c r="J304">
        <f t="shared" si="62"/>
        <v>0.71370512118100993</v>
      </c>
      <c r="K304">
        <f t="shared" si="60"/>
        <v>0.42008467849721459</v>
      </c>
      <c r="L304">
        <f t="shared" si="63"/>
        <v>56.202862193575179</v>
      </c>
      <c r="M304">
        <f t="shared" si="56"/>
        <v>56.201292223692633</v>
      </c>
      <c r="N304">
        <f t="shared" si="59"/>
        <v>7.4744356799899157E-3</v>
      </c>
    </row>
    <row r="305" spans="1:14" x14ac:dyDescent="0.25">
      <c r="A305">
        <f t="shared" si="57"/>
        <v>301</v>
      </c>
      <c r="B305">
        <f t="shared" si="58"/>
        <v>7.5250000000000053E-2</v>
      </c>
      <c r="C305">
        <f t="shared" si="50"/>
        <v>0.47280969436526421</v>
      </c>
      <c r="D305">
        <f t="shared" si="51"/>
        <v>-0.99691733373312674</v>
      </c>
      <c r="E305">
        <f t="shared" si="52"/>
        <v>-0.82412618862200726</v>
      </c>
      <c r="F305">
        <f t="shared" si="53"/>
        <v>0.82158568262069542</v>
      </c>
      <c r="G305">
        <f t="shared" si="54"/>
        <v>0.99384417029756644</v>
      </c>
      <c r="H305">
        <f t="shared" si="55"/>
        <v>0.67918397477263626</v>
      </c>
      <c r="I305">
        <f t="shared" si="61"/>
        <v>78.742103926409726</v>
      </c>
      <c r="J305">
        <f t="shared" si="62"/>
        <v>0.71308470722955353</v>
      </c>
      <c r="K305">
        <f t="shared" si="60"/>
        <v>0.42248993381137806</v>
      </c>
      <c r="L305">
        <f t="shared" si="63"/>
        <v>56.149790125002959</v>
      </c>
      <c r="M305">
        <f t="shared" si="56"/>
        <v>56.148200624220429</v>
      </c>
      <c r="N305">
        <f t="shared" si="59"/>
        <v>7.5243368295912364E-3</v>
      </c>
    </row>
    <row r="306" spans="1:14" x14ac:dyDescent="0.25">
      <c r="A306">
        <f t="shared" si="57"/>
        <v>302</v>
      </c>
      <c r="B306">
        <f t="shared" si="58"/>
        <v>7.5500000000000053E-2</v>
      </c>
      <c r="C306">
        <f t="shared" si="50"/>
        <v>0.47438049069205912</v>
      </c>
      <c r="D306">
        <f t="shared" si="51"/>
        <v>-0.98768834059513522</v>
      </c>
      <c r="E306">
        <f t="shared" si="52"/>
        <v>-0.77714596145696124</v>
      </c>
      <c r="F306">
        <f t="shared" si="53"/>
        <v>0.76757800507163698</v>
      </c>
      <c r="G306">
        <f t="shared" si="54"/>
        <v>0.97552825814757183</v>
      </c>
      <c r="H306">
        <f t="shared" si="55"/>
        <v>0.60395584540886471</v>
      </c>
      <c r="I306">
        <f t="shared" si="61"/>
        <v>78.72451110705498</v>
      </c>
      <c r="J306">
        <f t="shared" si="62"/>
        <v>0.71242504733312884</v>
      </c>
      <c r="K306">
        <f t="shared" si="60"/>
        <v>0.42515429459875687</v>
      </c>
      <c r="L306">
        <f t="shared" si="63"/>
        <v>56.085313551721072</v>
      </c>
      <c r="M306">
        <f t="shared" si="56"/>
        <v>56.083702089115441</v>
      </c>
      <c r="N306">
        <f t="shared" si="59"/>
        <v>7.5804924261800846E-3</v>
      </c>
    </row>
    <row r="307" spans="1:14" x14ac:dyDescent="0.25">
      <c r="A307">
        <f t="shared" si="57"/>
        <v>303</v>
      </c>
      <c r="B307">
        <f t="shared" si="58"/>
        <v>7.5750000000000053E-2</v>
      </c>
      <c r="C307">
        <f t="shared" si="50"/>
        <v>0.47595128701885397</v>
      </c>
      <c r="D307">
        <f t="shared" si="51"/>
        <v>-0.97236992039767278</v>
      </c>
      <c r="E307">
        <f t="shared" si="52"/>
        <v>-0.72537437101227675</v>
      </c>
      <c r="F307">
        <f t="shared" si="53"/>
        <v>0.70533221939971946</v>
      </c>
      <c r="G307">
        <f t="shared" si="54"/>
        <v>0.94550326209417646</v>
      </c>
      <c r="H307">
        <f t="shared" si="55"/>
        <v>0.5261679781214561</v>
      </c>
      <c r="I307">
        <f t="shared" si="61"/>
        <v>78.695662957953076</v>
      </c>
      <c r="J307">
        <f t="shared" si="62"/>
        <v>0.71174229867735017</v>
      </c>
      <c r="K307">
        <f t="shared" si="60"/>
        <v>0.42801215545425936</v>
      </c>
      <c r="L307">
        <f t="shared" si="63"/>
        <v>56.011032049631517</v>
      </c>
      <c r="M307">
        <f t="shared" si="56"/>
        <v>56.009396683589017</v>
      </c>
      <c r="N307">
        <f t="shared" si="59"/>
        <v>7.641568808712482E-3</v>
      </c>
    </row>
    <row r="308" spans="1:14" x14ac:dyDescent="0.25">
      <c r="A308">
        <f t="shared" si="57"/>
        <v>304</v>
      </c>
      <c r="B308">
        <f t="shared" si="58"/>
        <v>7.6000000000000054E-2</v>
      </c>
      <c r="C308">
        <f t="shared" si="50"/>
        <v>0.47752208334564888</v>
      </c>
      <c r="D308">
        <f t="shared" si="51"/>
        <v>-0.95105651629514842</v>
      </c>
      <c r="E308">
        <f t="shared" si="52"/>
        <v>-0.66913060635884614</v>
      </c>
      <c r="F308">
        <f t="shared" si="53"/>
        <v>0.6363810234301045</v>
      </c>
      <c r="G308">
        <f t="shared" si="54"/>
        <v>0.90450849718746396</v>
      </c>
      <c r="H308">
        <f t="shared" si="55"/>
        <v>0.44773576836615708</v>
      </c>
      <c r="I308">
        <f t="shared" si="61"/>
        <v>78.656257921411481</v>
      </c>
      <c r="J308">
        <f t="shared" si="62"/>
        <v>0.71105323085165506</v>
      </c>
      <c r="K308">
        <f t="shared" si="60"/>
        <v>0.43099314635892649</v>
      </c>
      <c r="L308">
        <f t="shared" si="63"/>
        <v>55.928786321720722</v>
      </c>
      <c r="M308">
        <f t="shared" si="56"/>
        <v>55.927125657667105</v>
      </c>
      <c r="N308">
        <f t="shared" si="59"/>
        <v>7.7061058303627859E-3</v>
      </c>
    </row>
    <row r="309" spans="1:14" x14ac:dyDescent="0.25">
      <c r="A309">
        <f t="shared" si="57"/>
        <v>305</v>
      </c>
      <c r="B309">
        <f t="shared" si="58"/>
        <v>7.6250000000000054E-2</v>
      </c>
      <c r="C309">
        <f t="shared" si="50"/>
        <v>0.47909287967244379</v>
      </c>
      <c r="D309">
        <f t="shared" si="51"/>
        <v>-0.92387953251128019</v>
      </c>
      <c r="E309">
        <f t="shared" si="52"/>
        <v>-0.60876142900870744</v>
      </c>
      <c r="F309">
        <f t="shared" si="53"/>
        <v>0.56242222444346357</v>
      </c>
      <c r="G309">
        <f t="shared" si="54"/>
        <v>0.85355339059326163</v>
      </c>
      <c r="H309">
        <f t="shared" si="55"/>
        <v>0.37059047744872353</v>
      </c>
      <c r="I309">
        <f t="shared" si="61"/>
        <v>78.607251257929335</v>
      </c>
      <c r="J309">
        <f t="shared" si="62"/>
        <v>0.71037481723953955</v>
      </c>
      <c r="K309">
        <f t="shared" si="60"/>
        <v>0.43402386542334381</v>
      </c>
      <c r="L309">
        <f t="shared" si="63"/>
        <v>55.840611746054115</v>
      </c>
      <c r="M309">
        <f t="shared" si="56"/>
        <v>55.838924984797117</v>
      </c>
      <c r="N309">
        <f t="shared" si="59"/>
        <v>7.772548542217813E-3</v>
      </c>
    </row>
    <row r="310" spans="1:14" x14ac:dyDescent="0.25">
      <c r="A310">
        <f t="shared" si="57"/>
        <v>306</v>
      </c>
      <c r="B310">
        <f t="shared" si="58"/>
        <v>7.6500000000000054E-2</v>
      </c>
      <c r="C310">
        <f t="shared" si="50"/>
        <v>0.4806636759992387</v>
      </c>
      <c r="D310">
        <f t="shared" si="51"/>
        <v>-0.89100652418835979</v>
      </c>
      <c r="E310">
        <f t="shared" si="52"/>
        <v>-0.54463903501501276</v>
      </c>
      <c r="F310">
        <f t="shared" si="53"/>
        <v>0.48527693352602891</v>
      </c>
      <c r="G310">
        <f t="shared" si="54"/>
        <v>0.79389262614622214</v>
      </c>
      <c r="H310">
        <f t="shared" si="55"/>
        <v>0.29663167846208432</v>
      </c>
      <c r="I310">
        <f t="shared" si="61"/>
        <v>78.549832970571089</v>
      </c>
      <c r="J310">
        <f t="shared" si="62"/>
        <v>0.70972381669264561</v>
      </c>
      <c r="K310">
        <f t="shared" si="60"/>
        <v>0.4370296862857655</v>
      </c>
      <c r="L310">
        <f t="shared" si="63"/>
        <v>55.748687256443525</v>
      </c>
      <c r="M310">
        <f t="shared" si="56"/>
        <v>55.746974230625767</v>
      </c>
      <c r="N310">
        <f t="shared" si="59"/>
        <v>7.8392821031898451E-3</v>
      </c>
    </row>
    <row r="311" spans="1:14" x14ac:dyDescent="0.25">
      <c r="A311">
        <f t="shared" si="57"/>
        <v>307</v>
      </c>
      <c r="B311">
        <f t="shared" si="58"/>
        <v>7.6750000000000054E-2</v>
      </c>
      <c r="C311">
        <f t="shared" si="50"/>
        <v>0.48223447232603356</v>
      </c>
      <c r="D311">
        <f t="shared" si="51"/>
        <v>-0.85264016435408463</v>
      </c>
      <c r="E311">
        <f t="shared" si="52"/>
        <v>-0.47715876025959614</v>
      </c>
      <c r="F311">
        <f t="shared" si="53"/>
        <v>0.40684472377073333</v>
      </c>
      <c r="G311">
        <f t="shared" si="54"/>
        <v>0.7269952498697605</v>
      </c>
      <c r="H311">
        <f t="shared" si="55"/>
        <v>0.22768048249247475</v>
      </c>
      <c r="I311">
        <f t="shared" si="61"/>
        <v>78.485400117109691</v>
      </c>
      <c r="J311">
        <f t="shared" si="62"/>
        <v>0.70911635577749577</v>
      </c>
      <c r="K311">
        <f t="shared" si="60"/>
        <v>0.43993659566081122</v>
      </c>
      <c r="L311">
        <f t="shared" si="63"/>
        <v>55.655280912783461</v>
      </c>
      <c r="M311">
        <f t="shared" si="56"/>
        <v>55.653542108949701</v>
      </c>
      <c r="N311">
        <f t="shared" si="59"/>
        <v>7.9046693942705845E-3</v>
      </c>
    </row>
    <row r="312" spans="1:14" x14ac:dyDescent="0.25">
      <c r="A312">
        <f t="shared" si="57"/>
        <v>308</v>
      </c>
      <c r="B312">
        <f t="shared" si="58"/>
        <v>7.7000000000000055E-2</v>
      </c>
      <c r="C312">
        <f t="shared" si="50"/>
        <v>0.48380526865282847</v>
      </c>
      <c r="D312">
        <f t="shared" si="51"/>
        <v>-0.80901699437493857</v>
      </c>
      <c r="E312">
        <f t="shared" si="52"/>
        <v>-0.406736643075787</v>
      </c>
      <c r="F312">
        <f t="shared" si="53"/>
        <v>0.32905685648332539</v>
      </c>
      <c r="G312">
        <f t="shared" si="54"/>
        <v>0.6545084971874594</v>
      </c>
      <c r="H312">
        <f t="shared" si="55"/>
        <v>0.16543469682056014</v>
      </c>
      <c r="I312">
        <f t="shared" si="61"/>
        <v>78.415524038289789</v>
      </c>
      <c r="J312">
        <f t="shared" si="62"/>
        <v>0.70856752233662035</v>
      </c>
      <c r="K312">
        <f t="shared" si="60"/>
        <v>0.44267301579218837</v>
      </c>
      <c r="L312">
        <f t="shared" si="63"/>
        <v>55.562693580538692</v>
      </c>
      <c r="M312">
        <f t="shared" si="56"/>
        <v>55.560930144535241</v>
      </c>
      <c r="N312">
        <f t="shared" si="59"/>
        <v>7.9670906370032137E-3</v>
      </c>
    </row>
    <row r="313" spans="1:14" x14ac:dyDescent="0.25">
      <c r="A313">
        <f t="shared" si="57"/>
        <v>309</v>
      </c>
      <c r="B313">
        <f t="shared" si="58"/>
        <v>7.7250000000000055E-2</v>
      </c>
      <c r="C313">
        <f t="shared" si="50"/>
        <v>0.48537606497962338</v>
      </c>
      <c r="D313">
        <f t="shared" si="51"/>
        <v>-0.76040596560002083</v>
      </c>
      <c r="E313">
        <f t="shared" si="52"/>
        <v>-0.33380685923375691</v>
      </c>
      <c r="F313">
        <f t="shared" si="53"/>
        <v>0.25382872711955518</v>
      </c>
      <c r="G313">
        <f t="shared" si="54"/>
        <v>0.57821723252010004</v>
      </c>
      <c r="H313">
        <f t="shared" si="55"/>
        <v>0.11142701927150521</v>
      </c>
      <c r="I313">
        <f t="shared" si="61"/>
        <v>78.341913152658364</v>
      </c>
      <c r="J313">
        <f t="shared" si="62"/>
        <v>0.70809098125939562</v>
      </c>
      <c r="K313">
        <f t="shared" si="60"/>
        <v>0.44517156693460447</v>
      </c>
      <c r="L313">
        <f t="shared" si="63"/>
        <v>55.473202158004213</v>
      </c>
      <c r="M313">
        <f t="shared" si="56"/>
        <v>55.471415881864743</v>
      </c>
      <c r="N313">
        <f t="shared" si="59"/>
        <v>8.0249841295734689E-3</v>
      </c>
    </row>
    <row r="314" spans="1:14" x14ac:dyDescent="0.25">
      <c r="A314">
        <f t="shared" si="57"/>
        <v>310</v>
      </c>
      <c r="B314">
        <f t="shared" si="58"/>
        <v>7.7500000000000055E-2</v>
      </c>
      <c r="C314">
        <f t="shared" si="50"/>
        <v>0.48694686130641829</v>
      </c>
      <c r="D314">
        <f t="shared" si="51"/>
        <v>-0.70710678118653625</v>
      </c>
      <c r="E314">
        <f t="shared" si="52"/>
        <v>-0.25881904510250597</v>
      </c>
      <c r="F314">
        <f t="shared" si="53"/>
        <v>0.18301270189220595</v>
      </c>
      <c r="G314">
        <f t="shared" si="54"/>
        <v>0.49999999999998407</v>
      </c>
      <c r="H314">
        <f t="shared" si="55"/>
        <v>6.6987298107773027E-2</v>
      </c>
      <c r="I314">
        <f t="shared" si="61"/>
        <v>78.266372089167376</v>
      </c>
      <c r="J314">
        <f t="shared" si="62"/>
        <v>0.70769862316267595</v>
      </c>
      <c r="K314">
        <f t="shared" si="60"/>
        <v>0.44737072646671755</v>
      </c>
      <c r="L314">
        <f t="shared" si="63"/>
        <v>55.389003767441444</v>
      </c>
      <c r="M314">
        <f t="shared" si="56"/>
        <v>55.387197056564823</v>
      </c>
      <c r="N314">
        <f t="shared" si="59"/>
        <v>8.0768870360092906E-3</v>
      </c>
    </row>
    <row r="315" spans="1:14" x14ac:dyDescent="0.25">
      <c r="A315">
        <f t="shared" si="57"/>
        <v>311</v>
      </c>
      <c r="B315">
        <f t="shared" si="58"/>
        <v>7.7750000000000055E-2</v>
      </c>
      <c r="C315">
        <f t="shared" si="50"/>
        <v>0.4885176576332132</v>
      </c>
      <c r="D315">
        <f t="shared" si="51"/>
        <v>-0.64944804833017122</v>
      </c>
      <c r="E315">
        <f t="shared" si="52"/>
        <v>-0.18223552549213196</v>
      </c>
      <c r="F315">
        <f t="shared" si="53"/>
        <v>0.11835250636728827</v>
      </c>
      <c r="G315">
        <f t="shared" si="54"/>
        <v>0.42178276747986843</v>
      </c>
      <c r="H315">
        <f t="shared" si="55"/>
        <v>3.3209786751393473E-2</v>
      </c>
      <c r="I315">
        <f t="shared" si="61"/>
        <v>78.19075804454981</v>
      </c>
      <c r="J315">
        <f t="shared" si="62"/>
        <v>0.70740025610286028</v>
      </c>
      <c r="K315">
        <f t="shared" si="60"/>
        <v>0.44921634378225478</v>
      </c>
      <c r="L315">
        <f t="shared" si="63"/>
        <v>55.312162265591319</v>
      </c>
      <c r="M315">
        <f t="shared" si="56"/>
        <v>55.310338085855008</v>
      </c>
      <c r="N315">
        <f t="shared" si="59"/>
        <v>8.1214750134927204E-3</v>
      </c>
    </row>
    <row r="316" spans="1:14" x14ac:dyDescent="0.25">
      <c r="A316">
        <f t="shared" si="57"/>
        <v>312</v>
      </c>
      <c r="B316">
        <f t="shared" si="58"/>
        <v>7.8000000000000055E-2</v>
      </c>
      <c r="C316">
        <f t="shared" si="50"/>
        <v>0.49008845396000805</v>
      </c>
      <c r="D316">
        <f t="shared" si="51"/>
        <v>-0.58778525229245948</v>
      </c>
      <c r="E316">
        <f t="shared" si="52"/>
        <v>-0.10452846326763736</v>
      </c>
      <c r="F316">
        <f t="shared" si="53"/>
        <v>6.144028915351131E-2</v>
      </c>
      <c r="G316">
        <f t="shared" si="54"/>
        <v>0.34549150281251023</v>
      </c>
      <c r="H316">
        <f t="shared" si="55"/>
        <v>1.0926199633093813E-2</v>
      </c>
      <c r="I316">
        <f t="shared" si="61"/>
        <v>78.116935358476482</v>
      </c>
      <c r="J316">
        <f t="shared" si="62"/>
        <v>0.70720334946563534</v>
      </c>
      <c r="K316">
        <f t="shared" si="60"/>
        <v>0.45066297365765523</v>
      </c>
      <c r="L316">
        <f t="shared" si="63"/>
        <v>55.24455833550509</v>
      </c>
      <c r="M316">
        <f t="shared" si="56"/>
        <v>55.242720140930778</v>
      </c>
      <c r="N316">
        <f t="shared" si="59"/>
        <v>8.1575993588497743E-3</v>
      </c>
    </row>
    <row r="317" spans="1:14" x14ac:dyDescent="0.25">
      <c r="A317">
        <f t="shared" si="57"/>
        <v>313</v>
      </c>
      <c r="B317">
        <f t="shared" si="58"/>
        <v>7.8250000000000056E-2</v>
      </c>
      <c r="C317">
        <f t="shared" si="50"/>
        <v>0.49165925028680296</v>
      </c>
      <c r="D317">
        <f t="shared" si="51"/>
        <v>-0.52249856471593414</v>
      </c>
      <c r="E317">
        <f t="shared" si="52"/>
        <v>-2.6176948307856523E-2</v>
      </c>
      <c r="F317">
        <f t="shared" si="53"/>
        <v>1.3677417919498235E-2</v>
      </c>
      <c r="G317">
        <f t="shared" si="54"/>
        <v>0.27300475013021119</v>
      </c>
      <c r="H317">
        <f t="shared" si="55"/>
        <v>6.8523262271219249E-4</v>
      </c>
      <c r="I317">
        <f t="shared" si="61"/>
        <v>78.046729389880227</v>
      </c>
      <c r="J317">
        <f t="shared" si="62"/>
        <v>0.7071128378185364</v>
      </c>
      <c r="K317">
        <f t="shared" si="60"/>
        <v>0.45167499526429694</v>
      </c>
      <c r="L317">
        <f t="shared" si="63"/>
        <v>55.187844301333577</v>
      </c>
      <c r="M317">
        <f t="shared" si="56"/>
        <v>55.185995943961089</v>
      </c>
      <c r="N317">
        <f t="shared" si="59"/>
        <v>8.1843203151419804E-3</v>
      </c>
    </row>
    <row r="318" spans="1:14" x14ac:dyDescent="0.25">
      <c r="A318">
        <f t="shared" si="57"/>
        <v>314</v>
      </c>
      <c r="B318">
        <f t="shared" si="58"/>
        <v>7.8500000000000056E-2</v>
      </c>
      <c r="C318">
        <f t="shared" si="50"/>
        <v>0.49323004661359787</v>
      </c>
      <c r="D318">
        <f t="shared" si="51"/>
        <v>-0.45399049973953104</v>
      </c>
      <c r="E318">
        <f t="shared" si="52"/>
        <v>5.2335956242960883E-2</v>
      </c>
      <c r="F318">
        <f t="shared" si="53"/>
        <v>-2.3760026929088039E-2</v>
      </c>
      <c r="G318">
        <f t="shared" si="54"/>
        <v>0.20610737385374914</v>
      </c>
      <c r="H318">
        <f t="shared" si="55"/>
        <v>2.7390523158651162E-3</v>
      </c>
      <c r="I318">
        <f t="shared" si="61"/>
        <v>77.981880846100253</v>
      </c>
      <c r="J318">
        <f t="shared" si="62"/>
        <v>0.7071309908029404</v>
      </c>
      <c r="K318">
        <f t="shared" si="60"/>
        <v>0.45222748927151746</v>
      </c>
      <c r="L318">
        <f t="shared" si="63"/>
        <v>55.143404667379713</v>
      </c>
      <c r="M318">
        <f t="shared" si="56"/>
        <v>55.141550292028803</v>
      </c>
      <c r="N318">
        <f t="shared" si="59"/>
        <v>8.2009352160845872E-3</v>
      </c>
    </row>
    <row r="319" spans="1:14" x14ac:dyDescent="0.25">
      <c r="A319">
        <f t="shared" si="57"/>
        <v>315</v>
      </c>
      <c r="B319">
        <f t="shared" si="58"/>
        <v>7.8750000000000056E-2</v>
      </c>
      <c r="C319">
        <f t="shared" si="50"/>
        <v>0.49480084294039278</v>
      </c>
      <c r="D319">
        <f t="shared" si="51"/>
        <v>-0.38268343236507302</v>
      </c>
      <c r="E319">
        <f t="shared" si="52"/>
        <v>0.13052619222006895</v>
      </c>
      <c r="F319">
        <f t="shared" si="53"/>
        <v>-4.9950211252319278E-2</v>
      </c>
      <c r="G319">
        <f t="shared" si="54"/>
        <v>0.14644660940671342</v>
      </c>
      <c r="H319">
        <f t="shared" si="55"/>
        <v>1.7037086855470389E-2</v>
      </c>
      <c r="I319">
        <f t="shared" si="61"/>
        <v>77.924001756023557</v>
      </c>
      <c r="J319">
        <f t="shared" si="62"/>
        <v>0.70725735315067118</v>
      </c>
      <c r="K319">
        <f t="shared" si="60"/>
        <v>0.4523068514432364</v>
      </c>
      <c r="L319">
        <f t="shared" si="63"/>
        <v>55.112323228873471</v>
      </c>
      <c r="M319">
        <f t="shared" si="56"/>
        <v>55.110467156393838</v>
      </c>
      <c r="N319">
        <f t="shared" si="59"/>
        <v>8.2070002667982579E-3</v>
      </c>
    </row>
    <row r="320" spans="1:14" x14ac:dyDescent="0.25">
      <c r="A320">
        <f t="shared" si="57"/>
        <v>316</v>
      </c>
      <c r="B320">
        <f t="shared" si="58"/>
        <v>7.9000000000000056E-2</v>
      </c>
      <c r="C320">
        <f t="shared" si="50"/>
        <v>0.49637163926718769</v>
      </c>
      <c r="D320">
        <f t="shared" si="51"/>
        <v>-0.30901699437492974</v>
      </c>
      <c r="E320">
        <f t="shared" si="52"/>
        <v>0.20791169081777691</v>
      </c>
      <c r="F320">
        <f t="shared" si="53"/>
        <v>-6.4248245791919095E-2</v>
      </c>
      <c r="G320">
        <f t="shared" si="54"/>
        <v>9.5491502812515366E-2</v>
      </c>
      <c r="H320">
        <f t="shared" si="55"/>
        <v>4.3227271178706859E-2</v>
      </c>
      <c r="I320">
        <f t="shared" si="61"/>
        <v>77.87453428304012</v>
      </c>
      <c r="J320">
        <f t="shared" si="62"/>
        <v>0.70748875672319611</v>
      </c>
      <c r="K320">
        <f t="shared" si="60"/>
        <v>0.45191112761939828</v>
      </c>
      <c r="L320">
        <f t="shared" si="63"/>
        <v>55.095357440305968</v>
      </c>
      <c r="M320">
        <f t="shared" si="56"/>
        <v>55.093504043651208</v>
      </c>
      <c r="N320">
        <f t="shared" si="59"/>
        <v>8.2023449636211051E-3</v>
      </c>
    </row>
    <row r="321" spans="1:14" x14ac:dyDescent="0.25">
      <c r="A321">
        <f t="shared" si="57"/>
        <v>317</v>
      </c>
      <c r="B321">
        <f t="shared" si="58"/>
        <v>7.9250000000000057E-2</v>
      </c>
      <c r="C321">
        <f t="shared" si="50"/>
        <v>0.49794243559398255</v>
      </c>
      <c r="D321">
        <f t="shared" si="51"/>
        <v>-0.23344536385589038</v>
      </c>
      <c r="E321">
        <f t="shared" si="52"/>
        <v>0.28401534470393686</v>
      </c>
      <c r="F321">
        <f t="shared" si="53"/>
        <v>-6.6302065485066661E-2</v>
      </c>
      <c r="G321">
        <f t="shared" si="54"/>
        <v>5.4496737905809049E-2</v>
      </c>
      <c r="H321">
        <f t="shared" si="55"/>
        <v>8.0664716027296079E-2</v>
      </c>
      <c r="I321">
        <f t="shared" si="61"/>
        <v>77.83471353842225</v>
      </c>
      <c r="J321">
        <f t="shared" si="62"/>
        <v>0.70781940419173384</v>
      </c>
      <c r="K321">
        <f t="shared" si="60"/>
        <v>0.4510500618338778</v>
      </c>
      <c r="L321">
        <f t="shared" si="63"/>
        <v>55.09292056220032</v>
      </c>
      <c r="M321">
        <f t="shared" si="56"/>
        <v>55.091074140142112</v>
      </c>
      <c r="N321">
        <f t="shared" si="59"/>
        <v>8.1870784345992129E-3</v>
      </c>
    </row>
    <row r="322" spans="1:14" x14ac:dyDescent="0.25">
      <c r="A322">
        <f t="shared" si="57"/>
        <v>318</v>
      </c>
      <c r="B322">
        <f t="shared" si="58"/>
        <v>7.9500000000000057E-2</v>
      </c>
      <c r="C322">
        <f t="shared" si="50"/>
        <v>0.49951323192077746</v>
      </c>
      <c r="D322">
        <f t="shared" si="51"/>
        <v>-0.15643446504021516</v>
      </c>
      <c r="E322">
        <f t="shared" si="52"/>
        <v>0.35836794954531453</v>
      </c>
      <c r="F322">
        <f t="shared" si="53"/>
        <v>-5.6061098474680097E-2</v>
      </c>
      <c r="G322">
        <f t="shared" si="54"/>
        <v>2.4471741852418297E-2</v>
      </c>
      <c r="H322">
        <f t="shared" si="55"/>
        <v>0.12842758726131309</v>
      </c>
      <c r="I322">
        <f t="shared" si="61"/>
        <v>77.805535477594248</v>
      </c>
      <c r="J322">
        <f t="shared" si="62"/>
        <v>0.70824102171560666</v>
      </c>
      <c r="K322">
        <f t="shared" si="60"/>
        <v>0.44974485638402817</v>
      </c>
      <c r="L322">
        <f t="shared" si="63"/>
        <v>55.105071941781233</v>
      </c>
      <c r="M322">
        <f t="shared" si="56"/>
        <v>55.103236595258551</v>
      </c>
      <c r="N322">
        <f t="shared" si="59"/>
        <v>8.1615873192069453E-3</v>
      </c>
    </row>
    <row r="323" spans="1:14" x14ac:dyDescent="0.25">
      <c r="A323">
        <f t="shared" si="57"/>
        <v>319</v>
      </c>
      <c r="B323">
        <f t="shared" si="58"/>
        <v>7.9750000000000057E-2</v>
      </c>
      <c r="C323">
        <f t="shared" si="50"/>
        <v>0.50108402824757237</v>
      </c>
      <c r="D323">
        <f t="shared" si="51"/>
        <v>-7.8459095727828651E-2</v>
      </c>
      <c r="E323">
        <f t="shared" si="52"/>
        <v>0.43051109680830935</v>
      </c>
      <c r="F323">
        <f t="shared" si="53"/>
        <v>-3.3777511356375647E-2</v>
      </c>
      <c r="G323">
        <f t="shared" si="54"/>
        <v>6.1558297024285804E-3</v>
      </c>
      <c r="H323">
        <f t="shared" si="55"/>
        <v>0.18533980447509349</v>
      </c>
      <c r="I323">
        <f t="shared" si="61"/>
        <v>77.78773084003987</v>
      </c>
      <c r="J323">
        <f t="shared" si="62"/>
        <v>0.70874307584338259</v>
      </c>
      <c r="K323">
        <f t="shared" si="60"/>
        <v>0.44802764975975318</v>
      </c>
      <c r="L323">
        <f t="shared" si="63"/>
        <v>55.131515618447011</v>
      </c>
      <c r="M323">
        <f t="shared" si="56"/>
        <v>55.129695134402084</v>
      </c>
      <c r="N323">
        <f t="shared" si="59"/>
        <v>8.126525177730522E-3</v>
      </c>
    </row>
    <row r="324" spans="1:14" x14ac:dyDescent="0.25">
      <c r="A324">
        <f t="shared" si="57"/>
        <v>320</v>
      </c>
      <c r="B324">
        <f t="shared" si="58"/>
        <v>8.0000000000000057E-2</v>
      </c>
      <c r="C324">
        <f t="shared" si="50"/>
        <v>0.50265482457436728</v>
      </c>
      <c r="D324">
        <f t="shared" si="51"/>
        <v>1.6783449630075609E-14</v>
      </c>
      <c r="E324">
        <f t="shared" si="52"/>
        <v>0.50000000000001399</v>
      </c>
      <c r="F324">
        <f t="shared" si="53"/>
        <v>8.3917248150380394E-15</v>
      </c>
      <c r="G324">
        <f t="shared" si="54"/>
        <v>2.8168418148528508E-28</v>
      </c>
      <c r="H324">
        <f t="shared" si="55"/>
        <v>0.25000000000001399</v>
      </c>
      <c r="I324">
        <f t="shared" si="61"/>
        <v>77.781745930520216</v>
      </c>
      <c r="J324">
        <f t="shared" si="62"/>
        <v>0.7093130479555555</v>
      </c>
      <c r="K324">
        <f t="shared" si="60"/>
        <v>0.44594072528722445</v>
      </c>
      <c r="L324">
        <f t="shared" si="63"/>
        <v>55.171607281281922</v>
      </c>
      <c r="M324">
        <f t="shared" si="56"/>
        <v>55.169805028380608</v>
      </c>
      <c r="N324">
        <f t="shared" si="59"/>
        <v>8.0827938003270542E-3</v>
      </c>
    </row>
    <row r="325" spans="1:14" x14ac:dyDescent="0.25">
      <c r="A325">
        <f t="shared" si="57"/>
        <v>321</v>
      </c>
      <c r="B325">
        <f t="shared" si="58"/>
        <v>8.0250000000000057E-2</v>
      </c>
      <c r="C325">
        <f t="shared" ref="C325:C388" si="64">2*PI()*B325</f>
        <v>0.50422562090116219</v>
      </c>
      <c r="D325">
        <f t="shared" ref="D325:D388" si="65">$C$1*SIN(C325*50)</f>
        <v>7.845909572786211E-2</v>
      </c>
      <c r="E325">
        <f t="shared" ref="E325:E388" si="66">$C$2*SIN(C325*50 + PI()*30/180)</f>
        <v>0.56640623692484648</v>
      </c>
      <c r="F325">
        <f t="shared" ref="F325:F388" si="67">D325*E325</f>
        <v>4.4439721163744679E-2</v>
      </c>
      <c r="G325">
        <f t="shared" ref="G325:G388" si="68">POWER(D325,2)</f>
        <v>6.1558297024338305E-3</v>
      </c>
      <c r="H325">
        <f t="shared" ref="H325:H388" si="69">POWER(E325,2)</f>
        <v>0.32081602522736535</v>
      </c>
      <c r="I325">
        <f t="shared" si="61"/>
        <v>77.78773084003987</v>
      </c>
      <c r="J325">
        <f t="shared" si="62"/>
        <v>0.70993675796886457</v>
      </c>
      <c r="K325">
        <f t="shared" si="60"/>
        <v>0.44353546997306093</v>
      </c>
      <c r="L325">
        <f t="shared" si="63"/>
        <v>55.224369442332566</v>
      </c>
      <c r="M325">
        <f t="shared" ref="M325:M388" si="70">SQRT(POWER(L325,2)-POWER(K325,2))</f>
        <v>55.222588282242896</v>
      </c>
      <c r="N325">
        <f t="shared" si="59"/>
        <v>8.0315171445500683E-3</v>
      </c>
    </row>
    <row r="326" spans="1:14" x14ac:dyDescent="0.25">
      <c r="A326">
        <f t="shared" ref="A326:A389" si="71">A325+1</f>
        <v>322</v>
      </c>
      <c r="B326">
        <f t="shared" ref="B326:B389" si="72">B325+(1/4000)</f>
        <v>8.0500000000000058E-2</v>
      </c>
      <c r="C326">
        <f t="shared" si="64"/>
        <v>0.5057964172279571</v>
      </c>
      <c r="D326">
        <f t="shared" si="65"/>
        <v>0.15643446504024833</v>
      </c>
      <c r="E326">
        <f t="shared" si="66"/>
        <v>0.62932039104985071</v>
      </c>
      <c r="F326">
        <f t="shared" si="67"/>
        <v>9.844739871280328E-2</v>
      </c>
      <c r="G326">
        <f t="shared" si="68"/>
        <v>2.4471741852428675E-2</v>
      </c>
      <c r="H326">
        <f t="shared" si="69"/>
        <v>0.39604415459113701</v>
      </c>
      <c r="I326">
        <f t="shared" si="61"/>
        <v>77.805535477594248</v>
      </c>
      <c r="J326">
        <f t="shared" si="62"/>
        <v>0.71059872778692013</v>
      </c>
      <c r="K326">
        <f t="shared" si="60"/>
        <v>0.44087110918568206</v>
      </c>
      <c r="L326">
        <f t="shared" si="63"/>
        <v>55.288514525158554</v>
      </c>
      <c r="M326">
        <f t="shared" si="70"/>
        <v>55.286756742132681</v>
      </c>
      <c r="N326">
        <f t="shared" ref="N326:N389" si="73">K326/L326</f>
        <v>7.9740089414966561E-3</v>
      </c>
    </row>
    <row r="327" spans="1:14" x14ac:dyDescent="0.25">
      <c r="A327">
        <f t="shared" si="71"/>
        <v>323</v>
      </c>
      <c r="B327">
        <f t="shared" si="72"/>
        <v>8.0750000000000058E-2</v>
      </c>
      <c r="C327">
        <f t="shared" si="64"/>
        <v>0.50736721355475201</v>
      </c>
      <c r="D327">
        <f t="shared" si="65"/>
        <v>0.23344536385592302</v>
      </c>
      <c r="E327">
        <f t="shared" si="66"/>
        <v>0.68835457569376668</v>
      </c>
      <c r="F327">
        <f t="shared" si="67"/>
        <v>0.16069318438472086</v>
      </c>
      <c r="G327">
        <f t="shared" si="68"/>
        <v>5.4496737905824287E-2</v>
      </c>
      <c r="H327">
        <f t="shared" si="69"/>
        <v>0.47383202187854556</v>
      </c>
      <c r="I327">
        <f t="shared" si="61"/>
        <v>77.83471353842225</v>
      </c>
      <c r="J327">
        <f t="shared" si="62"/>
        <v>0.71128257413877505</v>
      </c>
      <c r="K327">
        <f t="shared" si="60"/>
        <v>0.43801324833017957</v>
      </c>
      <c r="L327">
        <f t="shared" si="63"/>
        <v>55.362475402963142</v>
      </c>
      <c r="M327">
        <f t="shared" si="70"/>
        <v>55.3607426534181</v>
      </c>
      <c r="N327">
        <f t="shared" si="73"/>
        <v>7.9117352528412406E-3</v>
      </c>
    </row>
    <row r="328" spans="1:14" x14ac:dyDescent="0.25">
      <c r="A328">
        <f t="shared" si="71"/>
        <v>324</v>
      </c>
      <c r="B328">
        <f t="shared" si="72"/>
        <v>8.1000000000000058E-2</v>
      </c>
      <c r="C328">
        <f t="shared" si="64"/>
        <v>0.5089380098815468</v>
      </c>
      <c r="D328">
        <f t="shared" si="65"/>
        <v>0.30901699437496166</v>
      </c>
      <c r="E328">
        <f t="shared" si="66"/>
        <v>0.7431448254774039</v>
      </c>
      <c r="F328">
        <f t="shared" si="67"/>
        <v>0.22964438035433279</v>
      </c>
      <c r="G328">
        <f t="shared" si="68"/>
        <v>9.5491502812535087E-2</v>
      </c>
      <c r="H328">
        <f t="shared" si="69"/>
        <v>0.55226423163384109</v>
      </c>
      <c r="I328">
        <f t="shared" si="61"/>
        <v>77.874534283040134</v>
      </c>
      <c r="J328">
        <f t="shared" si="62"/>
        <v>0.71197141999902158</v>
      </c>
      <c r="K328">
        <f t="shared" si="60"/>
        <v>0.43503225742551249</v>
      </c>
      <c r="L328">
        <f t="shared" si="63"/>
        <v>55.444442755258571</v>
      </c>
      <c r="M328">
        <f t="shared" si="70"/>
        <v>55.442736037971144</v>
      </c>
      <c r="N328">
        <f t="shared" si="73"/>
        <v>7.8462734190660136E-3</v>
      </c>
    </row>
    <row r="329" spans="1:14" x14ac:dyDescent="0.25">
      <c r="A329">
        <f t="shared" si="71"/>
        <v>325</v>
      </c>
      <c r="B329">
        <f t="shared" si="72"/>
        <v>8.1250000000000058E-2</v>
      </c>
      <c r="C329">
        <f t="shared" si="64"/>
        <v>0.51050880620834171</v>
      </c>
      <c r="D329">
        <f t="shared" si="65"/>
        <v>0.38268343236510405</v>
      </c>
      <c r="E329">
        <f t="shared" si="66"/>
        <v>0.79335334029124416</v>
      </c>
      <c r="F329">
        <f t="shared" si="67"/>
        <v>0.30360317934097369</v>
      </c>
      <c r="G329">
        <f t="shared" si="68"/>
        <v>0.14644660940673718</v>
      </c>
      <c r="H329">
        <f t="shared" si="69"/>
        <v>0.62940952255127469</v>
      </c>
      <c r="I329">
        <f t="shared" si="61"/>
        <v>77.924001756023586</v>
      </c>
      <c r="J329">
        <f t="shared" si="62"/>
        <v>0.71264831370872639</v>
      </c>
      <c r="K329">
        <f t="shared" si="60"/>
        <v>0.43200153836109501</v>
      </c>
      <c r="L329">
        <f t="shared" si="63"/>
        <v>55.532408448866043</v>
      </c>
      <c r="M329">
        <f t="shared" si="70"/>
        <v>55.53072809537565</v>
      </c>
      <c r="N329">
        <f t="shared" si="73"/>
        <v>7.7792689067120117E-3</v>
      </c>
    </row>
    <row r="330" spans="1:14" x14ac:dyDescent="0.25">
      <c r="A330">
        <f t="shared" si="71"/>
        <v>326</v>
      </c>
      <c r="B330">
        <f t="shared" si="72"/>
        <v>8.1500000000000059E-2</v>
      </c>
      <c r="C330">
        <f t="shared" si="64"/>
        <v>0.51207960253513662</v>
      </c>
      <c r="D330">
        <f t="shared" si="65"/>
        <v>0.45399049973956096</v>
      </c>
      <c r="E330">
        <f t="shared" si="66"/>
        <v>0.83867056794543238</v>
      </c>
      <c r="F330">
        <f t="shared" si="67"/>
        <v>0.38074847025840824</v>
      </c>
      <c r="G330">
        <f t="shared" si="68"/>
        <v>0.20610737385377631</v>
      </c>
      <c r="H330">
        <f t="shared" si="69"/>
        <v>0.70336832153791407</v>
      </c>
      <c r="I330">
        <f t="shared" si="61"/>
        <v>77.981880846100267</v>
      </c>
      <c r="J330">
        <f t="shared" si="62"/>
        <v>0.71329664517592128</v>
      </c>
      <c r="K330">
        <f t="shared" si="60"/>
        <v>0.42899571749867343</v>
      </c>
      <c r="L330">
        <f t="shared" si="63"/>
        <v>55.624213992031756</v>
      </c>
      <c r="M330">
        <f t="shared" si="70"/>
        <v>55.622559675959799</v>
      </c>
      <c r="N330">
        <f t="shared" si="73"/>
        <v>7.7123915415708644E-3</v>
      </c>
    </row>
    <row r="331" spans="1:14" x14ac:dyDescent="0.25">
      <c r="A331">
        <f t="shared" si="71"/>
        <v>327</v>
      </c>
      <c r="B331">
        <f t="shared" si="72"/>
        <v>8.1750000000000059E-2</v>
      </c>
      <c r="C331">
        <f t="shared" si="64"/>
        <v>0.51365039886193153</v>
      </c>
      <c r="D331">
        <f t="shared" si="65"/>
        <v>0.52249856471596279</v>
      </c>
      <c r="E331">
        <f t="shared" si="66"/>
        <v>0.87881711266197282</v>
      </c>
      <c r="F331">
        <f t="shared" si="67"/>
        <v>0.45918068001370738</v>
      </c>
      <c r="G331">
        <f t="shared" si="68"/>
        <v>0.27300475013024117</v>
      </c>
      <c r="H331">
        <f t="shared" si="69"/>
        <v>0.77231951750752659</v>
      </c>
      <c r="I331">
        <f t="shared" si="61"/>
        <v>78.046729389880241</v>
      </c>
      <c r="J331">
        <f t="shared" si="62"/>
        <v>0.7139005490744802</v>
      </c>
      <c r="K331">
        <f t="shared" si="60"/>
        <v>0.42608880812362765</v>
      </c>
      <c r="L331">
        <f t="shared" si="63"/>
        <v>55.717602964902873</v>
      </c>
      <c r="M331">
        <f t="shared" si="70"/>
        <v>55.715973728206038</v>
      </c>
      <c r="N331">
        <f t="shared" si="73"/>
        <v>7.6472925152940557E-3</v>
      </c>
    </row>
    <row r="332" spans="1:14" x14ac:dyDescent="0.25">
      <c r="A332">
        <f t="shared" si="71"/>
        <v>328</v>
      </c>
      <c r="B332">
        <f t="shared" si="72"/>
        <v>8.2000000000000059E-2</v>
      </c>
      <c r="C332">
        <f t="shared" si="64"/>
        <v>0.51522119518872644</v>
      </c>
      <c r="D332">
        <f t="shared" si="65"/>
        <v>0.58778525229248668</v>
      </c>
      <c r="E332">
        <f t="shared" si="66"/>
        <v>0.91354545764260742</v>
      </c>
      <c r="F332">
        <f t="shared" si="67"/>
        <v>0.53696854730111521</v>
      </c>
      <c r="G332">
        <f t="shared" si="68"/>
        <v>0.34549150281254221</v>
      </c>
      <c r="H332">
        <f t="shared" si="69"/>
        <v>0.834565303179441</v>
      </c>
      <c r="I332">
        <f t="shared" si="61"/>
        <v>78.116935358476496</v>
      </c>
      <c r="J332">
        <f t="shared" si="62"/>
        <v>0.71444528572154731</v>
      </c>
      <c r="K332">
        <f t="shared" si="60"/>
        <v>0.42335238799225056</v>
      </c>
      <c r="L332">
        <f t="shared" si="63"/>
        <v>55.810276201878381</v>
      </c>
      <c r="M332">
        <f t="shared" si="70"/>
        <v>55.808670495591755</v>
      </c>
      <c r="N332">
        <f t="shared" si="73"/>
        <v>7.5855633908868195E-3</v>
      </c>
    </row>
    <row r="333" spans="1:14" x14ac:dyDescent="0.25">
      <c r="A333">
        <f t="shared" si="71"/>
        <v>329</v>
      </c>
      <c r="B333">
        <f t="shared" si="72"/>
        <v>8.2250000000000059E-2</v>
      </c>
      <c r="C333">
        <f t="shared" si="64"/>
        <v>0.51679199151552135</v>
      </c>
      <c r="D333">
        <f t="shared" si="65"/>
        <v>0.64944804833019676</v>
      </c>
      <c r="E333">
        <f t="shared" si="66"/>
        <v>0.94264149109218398</v>
      </c>
      <c r="F333">
        <f t="shared" si="67"/>
        <v>0.61219667666488542</v>
      </c>
      <c r="G333">
        <f t="shared" si="68"/>
        <v>0.42178276747990157</v>
      </c>
      <c r="H333">
        <f t="shared" si="69"/>
        <v>0.888572980728496</v>
      </c>
      <c r="I333">
        <f t="shared" si="61"/>
        <v>78.190758044549824</v>
      </c>
      <c r="J333">
        <f t="shared" si="62"/>
        <v>0.71491759123629528</v>
      </c>
      <c r="K333">
        <f t="shared" si="60"/>
        <v>0.42085383684983435</v>
      </c>
      <c r="L333">
        <f t="shared" si="63"/>
        <v>55.89994839814954</v>
      </c>
      <c r="M333">
        <f t="shared" si="70"/>
        <v>55.898364134952914</v>
      </c>
      <c r="N333">
        <f t="shared" si="73"/>
        <v>7.5286981278101846E-3</v>
      </c>
    </row>
    <row r="334" spans="1:14" x14ac:dyDescent="0.25">
      <c r="A334">
        <f t="shared" si="71"/>
        <v>330</v>
      </c>
      <c r="B334">
        <f t="shared" si="72"/>
        <v>8.2500000000000059E-2</v>
      </c>
      <c r="C334">
        <f t="shared" si="64"/>
        <v>0.51836278784231626</v>
      </c>
      <c r="D334">
        <f t="shared" si="65"/>
        <v>0.70710678118656001</v>
      </c>
      <c r="E334">
        <f t="shared" si="66"/>
        <v>0.96592582628907264</v>
      </c>
      <c r="F334">
        <f t="shared" si="67"/>
        <v>0.68301270189223451</v>
      </c>
      <c r="G334">
        <f t="shared" si="68"/>
        <v>0.50000000000001765</v>
      </c>
      <c r="H334">
        <f t="shared" si="69"/>
        <v>0.93301270189222774</v>
      </c>
      <c r="I334">
        <f t="shared" si="61"/>
        <v>78.26637208916739</v>
      </c>
      <c r="J334">
        <f t="shared" si="62"/>
        <v>0.71530598961119651</v>
      </c>
      <c r="K334">
        <f t="shared" si="60"/>
        <v>0.41865467731772138</v>
      </c>
      <c r="L334">
        <f t="shared" si="63"/>
        <v>55.984404740520013</v>
      </c>
      <c r="M334">
        <f t="shared" si="70"/>
        <v>55.982839356462797</v>
      </c>
      <c r="N334">
        <f t="shared" si="73"/>
        <v>7.4780589211965011E-3</v>
      </c>
    </row>
    <row r="335" spans="1:14" x14ac:dyDescent="0.25">
      <c r="A335">
        <f t="shared" si="71"/>
        <v>331</v>
      </c>
      <c r="B335">
        <f t="shared" si="72"/>
        <v>8.275000000000006E-2</v>
      </c>
      <c r="C335">
        <f t="shared" si="64"/>
        <v>0.51993358416911117</v>
      </c>
      <c r="D335">
        <f t="shared" si="65"/>
        <v>0.7604059656000427</v>
      </c>
      <c r="E335">
        <f t="shared" si="66"/>
        <v>0.98325490756395773</v>
      </c>
      <c r="F335">
        <f t="shared" si="67"/>
        <v>0.74767289741715204</v>
      </c>
      <c r="G335">
        <f t="shared" si="68"/>
        <v>0.57821723252013335</v>
      </c>
      <c r="H335">
        <f t="shared" si="69"/>
        <v>0.96679021324860703</v>
      </c>
      <c r="I335">
        <f t="shared" si="61"/>
        <v>78.341913152658393</v>
      </c>
      <c r="J335">
        <f t="shared" si="62"/>
        <v>0.71560106041397675</v>
      </c>
      <c r="K335">
        <f t="shared" si="60"/>
        <v>0.4168090600021841</v>
      </c>
      <c r="L335">
        <f t="shared" si="63"/>
        <v>56.061556126902019</v>
      </c>
      <c r="M335">
        <f t="shared" si="70"/>
        <v>56.060006649814845</v>
      </c>
      <c r="N335">
        <f t="shared" si="73"/>
        <v>7.4348464223627161E-3</v>
      </c>
    </row>
    <row r="336" spans="1:14" x14ac:dyDescent="0.25">
      <c r="A336">
        <f t="shared" si="71"/>
        <v>332</v>
      </c>
      <c r="B336">
        <f t="shared" si="72"/>
        <v>8.300000000000006E-2</v>
      </c>
      <c r="C336">
        <f t="shared" si="64"/>
        <v>0.52150438049590608</v>
      </c>
      <c r="D336">
        <f t="shared" si="65"/>
        <v>0.80901699437495833</v>
      </c>
      <c r="E336">
        <f t="shared" si="66"/>
        <v>0.99452189536827518</v>
      </c>
      <c r="F336">
        <f t="shared" si="67"/>
        <v>0.80458511463092874</v>
      </c>
      <c r="G336">
        <f t="shared" si="68"/>
        <v>0.65450849718749138</v>
      </c>
      <c r="H336">
        <f t="shared" si="69"/>
        <v>0.98907380036690651</v>
      </c>
      <c r="I336">
        <f t="shared" si="61"/>
        <v>78.415524038289817</v>
      </c>
      <c r="J336">
        <f t="shared" si="62"/>
        <v>0.71579565694727909</v>
      </c>
      <c r="K336">
        <f t="shared" si="60"/>
        <v>0.41536243012678375</v>
      </c>
      <c r="L336">
        <f t="shared" si="63"/>
        <v>56.129491543852815</v>
      </c>
      <c r="M336">
        <f t="shared" si="70"/>
        <v>56.127954666307623</v>
      </c>
      <c r="N336">
        <f t="shared" si="73"/>
        <v>7.4000746969580091E-3</v>
      </c>
    </row>
    <row r="337" spans="1:14" x14ac:dyDescent="0.25">
      <c r="A337">
        <f t="shared" si="71"/>
        <v>333</v>
      </c>
      <c r="B337">
        <f t="shared" si="72"/>
        <v>8.325000000000006E-2</v>
      </c>
      <c r="C337">
        <f t="shared" si="64"/>
        <v>0.52307517682270088</v>
      </c>
      <c r="D337">
        <f t="shared" si="65"/>
        <v>0.85264016435410028</v>
      </c>
      <c r="E337">
        <f t="shared" si="66"/>
        <v>0.9996573249755577</v>
      </c>
      <c r="F337">
        <f t="shared" si="67"/>
        <v>0.85234798586493976</v>
      </c>
      <c r="G337">
        <f t="shared" si="68"/>
        <v>0.72699524986978714</v>
      </c>
      <c r="H337">
        <f t="shared" si="69"/>
        <v>0.99931476737728775</v>
      </c>
      <c r="I337">
        <f t="shared" si="61"/>
        <v>78.48540011710972</v>
      </c>
      <c r="J337">
        <f t="shared" si="62"/>
        <v>0.71588507079853014</v>
      </c>
      <c r="K337">
        <f t="shared" ref="K337:K400" si="74">AVERAGE(F261:F337)</f>
        <v>0.41435040852014199</v>
      </c>
      <c r="L337">
        <f t="shared" si="63"/>
        <v>56.186526219488059</v>
      </c>
      <c r="M337">
        <f t="shared" si="70"/>
        <v>56.184998374585525</v>
      </c>
      <c r="N337">
        <f t="shared" si="73"/>
        <v>7.3745510961385312E-3</v>
      </c>
    </row>
    <row r="338" spans="1:14" x14ac:dyDescent="0.25">
      <c r="A338">
        <f t="shared" si="71"/>
        <v>334</v>
      </c>
      <c r="B338">
        <f t="shared" si="72"/>
        <v>8.350000000000006E-2</v>
      </c>
      <c r="C338">
        <f t="shared" si="64"/>
        <v>0.52464597314949579</v>
      </c>
      <c r="D338">
        <f t="shared" si="65"/>
        <v>0.891006524188375</v>
      </c>
      <c r="E338">
        <f t="shared" si="66"/>
        <v>0.99862953475457306</v>
      </c>
      <c r="F338">
        <f t="shared" si="67"/>
        <v>0.88978543071352623</v>
      </c>
      <c r="G338">
        <f t="shared" si="68"/>
        <v>0.79389262614624934</v>
      </c>
      <c r="H338">
        <f t="shared" si="69"/>
        <v>0.99726094768413509</v>
      </c>
      <c r="I338">
        <f t="shared" si="61"/>
        <v>78.549832970571117</v>
      </c>
      <c r="J338">
        <f t="shared" si="62"/>
        <v>0.71586713980043248</v>
      </c>
      <c r="K338">
        <f t="shared" si="74"/>
        <v>0.41379791451292153</v>
      </c>
      <c r="L338">
        <f t="shared" si="63"/>
        <v>56.231244260444456</v>
      </c>
      <c r="M338">
        <f t="shared" si="70"/>
        <v>56.229721699148683</v>
      </c>
      <c r="N338">
        <f t="shared" si="73"/>
        <v>7.3588610736825769E-3</v>
      </c>
    </row>
    <row r="339" spans="1:14" x14ac:dyDescent="0.25">
      <c r="A339">
        <f t="shared" si="71"/>
        <v>335</v>
      </c>
      <c r="B339">
        <f t="shared" si="72"/>
        <v>8.3750000000000061E-2</v>
      </c>
      <c r="C339">
        <f t="shared" si="64"/>
        <v>0.5262167694762907</v>
      </c>
      <c r="D339">
        <f t="shared" si="65"/>
        <v>0.92387953251129296</v>
      </c>
      <c r="E339">
        <f t="shared" si="66"/>
        <v>0.99144486137380838</v>
      </c>
      <c r="F339">
        <f t="shared" si="67"/>
        <v>0.91597561503675773</v>
      </c>
      <c r="G339">
        <f t="shared" si="68"/>
        <v>0.85355339059328517</v>
      </c>
      <c r="H339">
        <f t="shared" si="69"/>
        <v>0.9829629131445301</v>
      </c>
      <c r="I339">
        <f t="shared" si="61"/>
        <v>78.607251257929363</v>
      </c>
      <c r="J339">
        <f t="shared" si="62"/>
        <v>0.71574229748863316</v>
      </c>
      <c r="K339">
        <f t="shared" si="74"/>
        <v>0.41371855234120253</v>
      </c>
      <c r="L339">
        <f t="shared" si="63"/>
        <v>56.262534614616612</v>
      </c>
      <c r="M339">
        <f t="shared" si="70"/>
        <v>56.261013483764948</v>
      </c>
      <c r="N339">
        <f t="shared" si="73"/>
        <v>7.3533578814936884E-3</v>
      </c>
    </row>
    <row r="340" spans="1:14" x14ac:dyDescent="0.25">
      <c r="A340">
        <f t="shared" si="71"/>
        <v>336</v>
      </c>
      <c r="B340">
        <f t="shared" si="72"/>
        <v>8.4000000000000061E-2</v>
      </c>
      <c r="C340">
        <f t="shared" si="64"/>
        <v>0.52778756580308561</v>
      </c>
      <c r="D340">
        <f t="shared" si="65"/>
        <v>0.95105651629515875</v>
      </c>
      <c r="E340">
        <f t="shared" si="66"/>
        <v>0.97814760073380225</v>
      </c>
      <c r="F340">
        <f t="shared" si="67"/>
        <v>0.93027364957635783</v>
      </c>
      <c r="G340">
        <f t="shared" si="68"/>
        <v>0.90450849718748361</v>
      </c>
      <c r="H340">
        <f t="shared" si="69"/>
        <v>0.95677272882129383</v>
      </c>
      <c r="I340">
        <f t="shared" si="61"/>
        <v>78.656257921411509</v>
      </c>
      <c r="J340">
        <f t="shared" si="62"/>
        <v>0.7155135631909898</v>
      </c>
      <c r="K340">
        <f t="shared" si="74"/>
        <v>0.41411427616504076</v>
      </c>
      <c r="L340">
        <f t="shared" si="63"/>
        <v>56.279619372618669</v>
      </c>
      <c r="M340">
        <f t="shared" si="70"/>
        <v>56.278095793062427</v>
      </c>
      <c r="N340">
        <f t="shared" si="73"/>
        <v>7.3581570163659795E-3</v>
      </c>
    </row>
    <row r="341" spans="1:14" x14ac:dyDescent="0.25">
      <c r="A341">
        <f t="shared" si="71"/>
        <v>337</v>
      </c>
      <c r="B341">
        <f t="shared" si="72"/>
        <v>8.4250000000000061E-2</v>
      </c>
      <c r="C341">
        <f t="shared" si="64"/>
        <v>0.52935836212988052</v>
      </c>
      <c r="D341">
        <f t="shared" si="65"/>
        <v>0.97236992039768066</v>
      </c>
      <c r="E341">
        <f t="shared" si="66"/>
        <v>0.95881973486818839</v>
      </c>
      <c r="F341">
        <f t="shared" si="67"/>
        <v>0.9323274692695056</v>
      </c>
      <c r="G341">
        <f t="shared" si="68"/>
        <v>0.94550326209419189</v>
      </c>
      <c r="H341">
        <f t="shared" si="69"/>
        <v>0.91933528397270303</v>
      </c>
      <c r="I341">
        <f t="shared" ref="I341:I404" si="75">SQRT(SUM(G261:G341)/80)</f>
        <v>78.69566295795309</v>
      </c>
      <c r="J341">
        <f t="shared" ref="J341:J404" si="76">SQRT(SUM(H261:H341)/80)</f>
        <v>0.71518647292133475</v>
      </c>
      <c r="K341">
        <f t="shared" si="74"/>
        <v>0.41497534195056124</v>
      </c>
      <c r="L341">
        <f t="shared" ref="L341:L404" si="77">I341*J341</f>
        <v>56.282073625104601</v>
      </c>
      <c r="M341">
        <f t="shared" si="70"/>
        <v>56.280543769648034</v>
      </c>
      <c r="N341">
        <f t="shared" si="73"/>
        <v>7.373135267096158E-3</v>
      </c>
    </row>
    <row r="342" spans="1:14" x14ac:dyDescent="0.25">
      <c r="A342">
        <f t="shared" si="71"/>
        <v>338</v>
      </c>
      <c r="B342">
        <f t="shared" si="72"/>
        <v>8.4500000000000061E-2</v>
      </c>
      <c r="C342">
        <f t="shared" si="64"/>
        <v>0.53092915845667543</v>
      </c>
      <c r="D342">
        <f t="shared" si="65"/>
        <v>0.98768834059514043</v>
      </c>
      <c r="E342">
        <f t="shared" si="66"/>
        <v>0.93358042649719564</v>
      </c>
      <c r="F342">
        <f t="shared" si="67"/>
        <v>0.92208650225911859</v>
      </c>
      <c r="G342">
        <f t="shared" si="68"/>
        <v>0.97552825814758215</v>
      </c>
      <c r="H342">
        <f t="shared" si="69"/>
        <v>0.87157241273868569</v>
      </c>
      <c r="I342">
        <f t="shared" si="75"/>
        <v>78.724511107054994</v>
      </c>
      <c r="J342">
        <f t="shared" si="76"/>
        <v>0.71476895229104198</v>
      </c>
      <c r="K342">
        <f t="shared" si="74"/>
        <v>0.41628054740041093</v>
      </c>
      <c r="L342">
        <f t="shared" si="77"/>
        <v>56.269836323614193</v>
      </c>
      <c r="M342">
        <f t="shared" si="70"/>
        <v>56.268296494493129</v>
      </c>
      <c r="N342">
        <f t="shared" si="73"/>
        <v>7.3979342148133226E-3</v>
      </c>
    </row>
    <row r="343" spans="1:14" x14ac:dyDescent="0.25">
      <c r="A343">
        <f t="shared" si="71"/>
        <v>339</v>
      </c>
      <c r="B343">
        <f t="shared" si="72"/>
        <v>8.4750000000000061E-2</v>
      </c>
      <c r="C343">
        <f t="shared" si="64"/>
        <v>0.53249995478347034</v>
      </c>
      <c r="D343">
        <f t="shared" si="65"/>
        <v>0.99691733373312941</v>
      </c>
      <c r="E343">
        <f t="shared" si="66"/>
        <v>0.90258528434985308</v>
      </c>
      <c r="F343">
        <f t="shared" si="67"/>
        <v>0.89980291514081401</v>
      </c>
      <c r="G343">
        <f t="shared" si="68"/>
        <v>0.99384417029757166</v>
      </c>
      <c r="H343">
        <f t="shared" si="69"/>
        <v>0.8146601955249051</v>
      </c>
      <c r="I343">
        <f t="shared" si="75"/>
        <v>78.74210392640974</v>
      </c>
      <c r="J343">
        <f t="shared" si="76"/>
        <v>0.71427113370488493</v>
      </c>
      <c r="K343">
        <f t="shared" si="74"/>
        <v>0.41799775402468586</v>
      </c>
      <c r="L343">
        <f t="shared" si="77"/>
        <v>56.243211841824554</v>
      </c>
      <c r="M343">
        <f t="shared" si="70"/>
        <v>56.241658547396909</v>
      </c>
      <c r="N343">
        <f t="shared" si="73"/>
        <v>7.4319680604343994E-3</v>
      </c>
    </row>
    <row r="344" spans="1:14" x14ac:dyDescent="0.25">
      <c r="A344">
        <f t="shared" si="71"/>
        <v>340</v>
      </c>
      <c r="B344">
        <f t="shared" si="72"/>
        <v>8.5000000000000062E-2</v>
      </c>
      <c r="C344">
        <f t="shared" si="64"/>
        <v>0.53407075111026525</v>
      </c>
      <c r="D344">
        <f t="shared" si="65"/>
        <v>1</v>
      </c>
      <c r="E344">
        <f t="shared" si="66"/>
        <v>0.86602540378442971</v>
      </c>
      <c r="F344">
        <f t="shared" si="67"/>
        <v>0.86602540378442971</v>
      </c>
      <c r="G344">
        <f t="shared" si="68"/>
        <v>1</v>
      </c>
      <c r="H344">
        <f t="shared" si="69"/>
        <v>0.74999999999998457</v>
      </c>
      <c r="I344">
        <f t="shared" si="75"/>
        <v>78.748015848019961</v>
      </c>
      <c r="J344">
        <f t="shared" si="76"/>
        <v>0.71370512118100993</v>
      </c>
      <c r="K344">
        <f t="shared" si="74"/>
        <v>0.42008467849721448</v>
      </c>
      <c r="L344">
        <f t="shared" si="77"/>
        <v>56.202862193575179</v>
      </c>
      <c r="M344">
        <f t="shared" si="70"/>
        <v>56.201292223692633</v>
      </c>
      <c r="N344">
        <f t="shared" si="73"/>
        <v>7.4744356799899131E-3</v>
      </c>
    </row>
    <row r="345" spans="1:14" x14ac:dyDescent="0.25">
      <c r="A345">
        <f t="shared" si="71"/>
        <v>341</v>
      </c>
      <c r="B345">
        <f t="shared" si="72"/>
        <v>8.5250000000000062E-2</v>
      </c>
      <c r="C345">
        <f t="shared" si="64"/>
        <v>0.53564154743706016</v>
      </c>
      <c r="D345">
        <f t="shared" si="65"/>
        <v>0.99691733373312652</v>
      </c>
      <c r="E345">
        <f t="shared" si="66"/>
        <v>0.82412618862200526</v>
      </c>
      <c r="F345">
        <f t="shared" si="67"/>
        <v>0.8215856826206932</v>
      </c>
      <c r="G345">
        <f t="shared" si="68"/>
        <v>0.993844170297566</v>
      </c>
      <c r="H345">
        <f t="shared" si="69"/>
        <v>0.67918397477263304</v>
      </c>
      <c r="I345">
        <f t="shared" si="75"/>
        <v>78.742103926409726</v>
      </c>
      <c r="J345">
        <f t="shared" si="76"/>
        <v>0.71308470722955364</v>
      </c>
      <c r="K345">
        <f t="shared" si="74"/>
        <v>0.42248993381137795</v>
      </c>
      <c r="L345">
        <f t="shared" si="77"/>
        <v>56.149790125002966</v>
      </c>
      <c r="M345">
        <f t="shared" si="70"/>
        <v>56.148200624220443</v>
      </c>
      <c r="N345">
        <f t="shared" si="73"/>
        <v>7.5243368295912329E-3</v>
      </c>
    </row>
    <row r="346" spans="1:14" x14ac:dyDescent="0.25">
      <c r="A346">
        <f t="shared" si="71"/>
        <v>342</v>
      </c>
      <c r="B346">
        <f t="shared" si="72"/>
        <v>8.5500000000000062E-2</v>
      </c>
      <c r="C346">
        <f t="shared" si="64"/>
        <v>0.53721234376385496</v>
      </c>
      <c r="D346">
        <f t="shared" si="65"/>
        <v>0.98768834059513522</v>
      </c>
      <c r="E346">
        <f t="shared" si="66"/>
        <v>0.77714596145696135</v>
      </c>
      <c r="F346">
        <f t="shared" si="67"/>
        <v>0.76757800507163709</v>
      </c>
      <c r="G346">
        <f t="shared" si="68"/>
        <v>0.97552825814757183</v>
      </c>
      <c r="H346">
        <f t="shared" si="69"/>
        <v>0.60395584540886482</v>
      </c>
      <c r="I346">
        <f t="shared" si="75"/>
        <v>78.72451110705498</v>
      </c>
      <c r="J346">
        <f t="shared" si="76"/>
        <v>0.71242504733312884</v>
      </c>
      <c r="K346">
        <f t="shared" si="74"/>
        <v>0.42515429459875675</v>
      </c>
      <c r="L346">
        <f t="shared" si="77"/>
        <v>56.085313551721072</v>
      </c>
      <c r="M346">
        <f t="shared" si="70"/>
        <v>56.083702089115441</v>
      </c>
      <c r="N346">
        <f t="shared" si="73"/>
        <v>7.5804924261800829E-3</v>
      </c>
    </row>
    <row r="347" spans="1:14" x14ac:dyDescent="0.25">
      <c r="A347">
        <f t="shared" si="71"/>
        <v>343</v>
      </c>
      <c r="B347">
        <f t="shared" si="72"/>
        <v>8.5750000000000062E-2</v>
      </c>
      <c r="C347">
        <f t="shared" si="64"/>
        <v>0.53878314009064987</v>
      </c>
      <c r="D347">
        <f t="shared" si="65"/>
        <v>0.97236992039767278</v>
      </c>
      <c r="E347">
        <f t="shared" si="66"/>
        <v>0.72537437101227686</v>
      </c>
      <c r="F347">
        <f t="shared" si="67"/>
        <v>0.70533221939971957</v>
      </c>
      <c r="G347">
        <f t="shared" si="68"/>
        <v>0.94550326209417646</v>
      </c>
      <c r="H347">
        <f t="shared" si="69"/>
        <v>0.52616797812145633</v>
      </c>
      <c r="I347">
        <f t="shared" si="75"/>
        <v>78.69566295795309</v>
      </c>
      <c r="J347">
        <f t="shared" si="76"/>
        <v>0.71174229867735017</v>
      </c>
      <c r="K347">
        <f t="shared" si="74"/>
        <v>0.42801215545425925</v>
      </c>
      <c r="L347">
        <f t="shared" si="77"/>
        <v>56.011032049631531</v>
      </c>
      <c r="M347">
        <f t="shared" si="70"/>
        <v>56.009396683589031</v>
      </c>
      <c r="N347">
        <f t="shared" si="73"/>
        <v>7.6415688087124777E-3</v>
      </c>
    </row>
    <row r="348" spans="1:14" x14ac:dyDescent="0.25">
      <c r="A348">
        <f t="shared" si="71"/>
        <v>344</v>
      </c>
      <c r="B348">
        <f t="shared" si="72"/>
        <v>8.6000000000000063E-2</v>
      </c>
      <c r="C348">
        <f t="shared" si="64"/>
        <v>0.54035393641744478</v>
      </c>
      <c r="D348">
        <f t="shared" si="65"/>
        <v>0.95105651629514842</v>
      </c>
      <c r="E348">
        <f t="shared" si="66"/>
        <v>0.66913060635884625</v>
      </c>
      <c r="F348">
        <f t="shared" si="67"/>
        <v>0.63638102343010461</v>
      </c>
      <c r="G348">
        <f t="shared" si="68"/>
        <v>0.90450849718746396</v>
      </c>
      <c r="H348">
        <f t="shared" si="69"/>
        <v>0.44773576836615725</v>
      </c>
      <c r="I348">
        <f t="shared" si="75"/>
        <v>78.656257921411481</v>
      </c>
      <c r="J348">
        <f t="shared" si="76"/>
        <v>0.71105323085165506</v>
      </c>
      <c r="K348">
        <f t="shared" si="74"/>
        <v>0.43099314635892633</v>
      </c>
      <c r="L348">
        <f t="shared" si="77"/>
        <v>55.928786321720722</v>
      </c>
      <c r="M348">
        <f t="shared" si="70"/>
        <v>55.927125657667105</v>
      </c>
      <c r="N348">
        <f t="shared" si="73"/>
        <v>7.7061058303627833E-3</v>
      </c>
    </row>
    <row r="349" spans="1:14" x14ac:dyDescent="0.25">
      <c r="A349">
        <f t="shared" si="71"/>
        <v>345</v>
      </c>
      <c r="B349">
        <f t="shared" si="72"/>
        <v>8.6250000000000063E-2</v>
      </c>
      <c r="C349">
        <f t="shared" si="64"/>
        <v>0.54192473274423969</v>
      </c>
      <c r="D349">
        <f t="shared" si="65"/>
        <v>0.92387953251128019</v>
      </c>
      <c r="E349">
        <f t="shared" si="66"/>
        <v>0.60876142900870756</v>
      </c>
      <c r="F349">
        <f t="shared" si="67"/>
        <v>0.56242222444346357</v>
      </c>
      <c r="G349">
        <f t="shared" si="68"/>
        <v>0.85355339059326163</v>
      </c>
      <c r="H349">
        <f t="shared" si="69"/>
        <v>0.3705904774487237</v>
      </c>
      <c r="I349">
        <f t="shared" si="75"/>
        <v>78.607251257929335</v>
      </c>
      <c r="J349">
        <f t="shared" si="76"/>
        <v>0.71037481723953955</v>
      </c>
      <c r="K349">
        <f t="shared" si="74"/>
        <v>0.43402386542334381</v>
      </c>
      <c r="L349">
        <f t="shared" si="77"/>
        <v>55.840611746054115</v>
      </c>
      <c r="M349">
        <f t="shared" si="70"/>
        <v>55.838924984797117</v>
      </c>
      <c r="N349">
        <f t="shared" si="73"/>
        <v>7.772548542217813E-3</v>
      </c>
    </row>
    <row r="350" spans="1:14" x14ac:dyDescent="0.25">
      <c r="A350">
        <f t="shared" si="71"/>
        <v>346</v>
      </c>
      <c r="B350">
        <f t="shared" si="72"/>
        <v>8.6500000000000063E-2</v>
      </c>
      <c r="C350">
        <f t="shared" si="64"/>
        <v>0.5434955290710346</v>
      </c>
      <c r="D350">
        <f t="shared" si="65"/>
        <v>0.89100652418835991</v>
      </c>
      <c r="E350">
        <f t="shared" si="66"/>
        <v>0.54463903501501287</v>
      </c>
      <c r="F350">
        <f t="shared" si="67"/>
        <v>0.48527693352602908</v>
      </c>
      <c r="G350">
        <f t="shared" si="68"/>
        <v>0.79389262614622236</v>
      </c>
      <c r="H350">
        <f t="shared" si="69"/>
        <v>0.29663167846208444</v>
      </c>
      <c r="I350">
        <f t="shared" si="75"/>
        <v>78.549832970571089</v>
      </c>
      <c r="J350">
        <f t="shared" si="76"/>
        <v>0.70972381669264561</v>
      </c>
      <c r="K350">
        <f t="shared" si="74"/>
        <v>0.43702968628576561</v>
      </c>
      <c r="L350">
        <f t="shared" si="77"/>
        <v>55.748687256443525</v>
      </c>
      <c r="M350">
        <f t="shared" si="70"/>
        <v>55.746974230625767</v>
      </c>
      <c r="N350">
        <f t="shared" si="73"/>
        <v>7.8392821031898468E-3</v>
      </c>
    </row>
    <row r="351" spans="1:14" x14ac:dyDescent="0.25">
      <c r="A351">
        <f t="shared" si="71"/>
        <v>347</v>
      </c>
      <c r="B351">
        <f t="shared" si="72"/>
        <v>8.6750000000000063E-2</v>
      </c>
      <c r="C351">
        <f t="shared" si="64"/>
        <v>0.54506632539782951</v>
      </c>
      <c r="D351">
        <f t="shared" si="65"/>
        <v>0.85264016435408285</v>
      </c>
      <c r="E351">
        <f t="shared" si="66"/>
        <v>0.47715876025959308</v>
      </c>
      <c r="F351">
        <f t="shared" si="67"/>
        <v>0.40684472377072989</v>
      </c>
      <c r="G351">
        <f t="shared" si="68"/>
        <v>0.72699524986975739</v>
      </c>
      <c r="H351">
        <f t="shared" si="69"/>
        <v>0.22768048249247183</v>
      </c>
      <c r="I351">
        <f t="shared" si="75"/>
        <v>78.485400117109691</v>
      </c>
      <c r="J351">
        <f t="shared" si="76"/>
        <v>0.70911635577749565</v>
      </c>
      <c r="K351">
        <f t="shared" si="74"/>
        <v>0.43993659566081134</v>
      </c>
      <c r="L351">
        <f t="shared" si="77"/>
        <v>55.655280912783454</v>
      </c>
      <c r="M351">
        <f t="shared" si="70"/>
        <v>55.653542108949694</v>
      </c>
      <c r="N351">
        <f t="shared" si="73"/>
        <v>7.9046693942705862E-3</v>
      </c>
    </row>
    <row r="352" spans="1:14" x14ac:dyDescent="0.25">
      <c r="A352">
        <f t="shared" si="71"/>
        <v>348</v>
      </c>
      <c r="B352">
        <f t="shared" si="72"/>
        <v>8.7000000000000063E-2</v>
      </c>
      <c r="C352">
        <f t="shared" si="64"/>
        <v>0.54663712172462442</v>
      </c>
      <c r="D352">
        <f t="shared" si="65"/>
        <v>0.80901699437493657</v>
      </c>
      <c r="E352">
        <f t="shared" si="66"/>
        <v>0.40673664307578389</v>
      </c>
      <c r="F352">
        <f t="shared" si="67"/>
        <v>0.32905685648332206</v>
      </c>
      <c r="G352">
        <f t="shared" si="68"/>
        <v>0.65450849718745618</v>
      </c>
      <c r="H352">
        <f t="shared" si="69"/>
        <v>0.16543469682055761</v>
      </c>
      <c r="I352">
        <f t="shared" si="75"/>
        <v>78.415524038289789</v>
      </c>
      <c r="J352">
        <f t="shared" si="76"/>
        <v>0.70856752233662024</v>
      </c>
      <c r="K352">
        <f t="shared" si="74"/>
        <v>0.44267301579218826</v>
      </c>
      <c r="L352">
        <f t="shared" si="77"/>
        <v>55.562693580538678</v>
      </c>
      <c r="M352">
        <f t="shared" si="70"/>
        <v>55.560930144535227</v>
      </c>
      <c r="N352">
        <f t="shared" si="73"/>
        <v>7.9670906370032137E-3</v>
      </c>
    </row>
    <row r="353" spans="1:14" x14ac:dyDescent="0.25">
      <c r="A353">
        <f t="shared" si="71"/>
        <v>349</v>
      </c>
      <c r="B353">
        <f t="shared" si="72"/>
        <v>8.7250000000000064E-2</v>
      </c>
      <c r="C353">
        <f t="shared" si="64"/>
        <v>0.54820791805141933</v>
      </c>
      <c r="D353">
        <f t="shared" si="65"/>
        <v>0.76040596560001861</v>
      </c>
      <c r="E353">
        <f t="shared" si="66"/>
        <v>0.33380685923375369</v>
      </c>
      <c r="F353">
        <f t="shared" si="67"/>
        <v>0.25382872711955196</v>
      </c>
      <c r="G353">
        <f t="shared" si="68"/>
        <v>0.57821723252009671</v>
      </c>
      <c r="H353">
        <f t="shared" si="69"/>
        <v>0.11142701927150306</v>
      </c>
      <c r="I353">
        <f t="shared" si="75"/>
        <v>78.34191315265835</v>
      </c>
      <c r="J353">
        <f t="shared" si="76"/>
        <v>0.70809098125939562</v>
      </c>
      <c r="K353">
        <f t="shared" si="74"/>
        <v>0.44517156693460447</v>
      </c>
      <c r="L353">
        <f t="shared" si="77"/>
        <v>55.473202158004206</v>
      </c>
      <c r="M353">
        <f t="shared" si="70"/>
        <v>55.471415881864736</v>
      </c>
      <c r="N353">
        <f t="shared" si="73"/>
        <v>8.0249841295734689E-3</v>
      </c>
    </row>
    <row r="354" spans="1:14" x14ac:dyDescent="0.25">
      <c r="A354">
        <f t="shared" si="71"/>
        <v>350</v>
      </c>
      <c r="B354">
        <f t="shared" si="72"/>
        <v>8.7500000000000064E-2</v>
      </c>
      <c r="C354">
        <f t="shared" si="64"/>
        <v>0.54977871437821424</v>
      </c>
      <c r="D354">
        <f t="shared" si="65"/>
        <v>0.70710678118653381</v>
      </c>
      <c r="E354">
        <f t="shared" si="66"/>
        <v>0.25881904510250264</v>
      </c>
      <c r="F354">
        <f t="shared" si="67"/>
        <v>0.18301270189220295</v>
      </c>
      <c r="G354">
        <f t="shared" si="68"/>
        <v>0.49999999999998063</v>
      </c>
      <c r="H354">
        <f t="shared" si="69"/>
        <v>6.6987298107771293E-2</v>
      </c>
      <c r="I354">
        <f t="shared" si="75"/>
        <v>78.266372089167362</v>
      </c>
      <c r="J354">
        <f t="shared" si="76"/>
        <v>0.70769862316267573</v>
      </c>
      <c r="K354">
        <f t="shared" si="74"/>
        <v>0.44737072646671744</v>
      </c>
      <c r="L354">
        <f t="shared" si="77"/>
        <v>55.389003767441416</v>
      </c>
      <c r="M354">
        <f t="shared" si="70"/>
        <v>55.387197056564794</v>
      </c>
      <c r="N354">
        <f t="shared" si="73"/>
        <v>8.0768870360092924E-3</v>
      </c>
    </row>
    <row r="355" spans="1:14" x14ac:dyDescent="0.25">
      <c r="A355">
        <f t="shared" si="71"/>
        <v>351</v>
      </c>
      <c r="B355">
        <f t="shared" si="72"/>
        <v>8.7750000000000064E-2</v>
      </c>
      <c r="C355">
        <f t="shared" si="64"/>
        <v>0.55134951070500915</v>
      </c>
      <c r="D355">
        <f t="shared" si="65"/>
        <v>0.64944804833016589</v>
      </c>
      <c r="E355">
        <f t="shared" si="66"/>
        <v>0.1822355254921251</v>
      </c>
      <c r="F355">
        <f t="shared" si="67"/>
        <v>0.11835250636728284</v>
      </c>
      <c r="G355">
        <f t="shared" si="68"/>
        <v>0.42178276747986149</v>
      </c>
      <c r="H355">
        <f t="shared" si="69"/>
        <v>3.3209786751390975E-2</v>
      </c>
      <c r="I355">
        <f t="shared" si="75"/>
        <v>78.190758044549781</v>
      </c>
      <c r="J355">
        <f t="shared" si="76"/>
        <v>0.70740025610286017</v>
      </c>
      <c r="K355">
        <f t="shared" si="74"/>
        <v>0.44921634378225472</v>
      </c>
      <c r="L355">
        <f t="shared" si="77"/>
        <v>55.31216226559129</v>
      </c>
      <c r="M355">
        <f t="shared" si="70"/>
        <v>55.31033808585498</v>
      </c>
      <c r="N355">
        <f t="shared" si="73"/>
        <v>8.1214750134927238E-3</v>
      </c>
    </row>
    <row r="356" spans="1:14" x14ac:dyDescent="0.25">
      <c r="A356">
        <f t="shared" si="71"/>
        <v>352</v>
      </c>
      <c r="B356">
        <f t="shared" si="72"/>
        <v>8.8000000000000064E-2</v>
      </c>
      <c r="C356">
        <f t="shared" si="64"/>
        <v>0.55292030703180395</v>
      </c>
      <c r="D356">
        <f t="shared" si="65"/>
        <v>0.58778525229245959</v>
      </c>
      <c r="E356">
        <f t="shared" si="66"/>
        <v>0.10452846326763748</v>
      </c>
      <c r="F356">
        <f t="shared" si="67"/>
        <v>6.1440289153511393E-2</v>
      </c>
      <c r="G356">
        <f t="shared" si="68"/>
        <v>0.3454915028125104</v>
      </c>
      <c r="H356">
        <f t="shared" si="69"/>
        <v>1.0926199633093839E-2</v>
      </c>
      <c r="I356">
        <f t="shared" si="75"/>
        <v>78.116935358476454</v>
      </c>
      <c r="J356">
        <f t="shared" si="76"/>
        <v>0.70720334946563523</v>
      </c>
      <c r="K356">
        <f t="shared" si="74"/>
        <v>0.45066297365765501</v>
      </c>
      <c r="L356">
        <f t="shared" si="77"/>
        <v>55.244558335505062</v>
      </c>
      <c r="M356">
        <f t="shared" si="70"/>
        <v>55.24272014093075</v>
      </c>
      <c r="N356">
        <f t="shared" si="73"/>
        <v>8.1575993588497743E-3</v>
      </c>
    </row>
    <row r="357" spans="1:14" x14ac:dyDescent="0.25">
      <c r="A357">
        <f t="shared" si="71"/>
        <v>353</v>
      </c>
      <c r="B357">
        <f t="shared" si="72"/>
        <v>8.8250000000000065E-2</v>
      </c>
      <c r="C357">
        <f t="shared" si="64"/>
        <v>0.55449110335859886</v>
      </c>
      <c r="D357">
        <f t="shared" si="65"/>
        <v>0.52249856471593425</v>
      </c>
      <c r="E357">
        <f t="shared" si="66"/>
        <v>2.6176948307856645E-2</v>
      </c>
      <c r="F357">
        <f t="shared" si="67"/>
        <v>1.3677417919498301E-2</v>
      </c>
      <c r="G357">
        <f t="shared" si="68"/>
        <v>0.27300475013021136</v>
      </c>
      <c r="H357">
        <f t="shared" si="69"/>
        <v>6.8523262271219889E-4</v>
      </c>
      <c r="I357">
        <f t="shared" si="75"/>
        <v>78.046729389880198</v>
      </c>
      <c r="J357">
        <f t="shared" si="76"/>
        <v>0.7071128378185364</v>
      </c>
      <c r="K357">
        <f t="shared" si="74"/>
        <v>0.45167499526429672</v>
      </c>
      <c r="L357">
        <f t="shared" si="77"/>
        <v>55.187844301333556</v>
      </c>
      <c r="M357">
        <f t="shared" si="70"/>
        <v>55.185995943961068</v>
      </c>
      <c r="N357">
        <f t="shared" si="73"/>
        <v>8.1843203151419786E-3</v>
      </c>
    </row>
    <row r="358" spans="1:14" x14ac:dyDescent="0.25">
      <c r="A358">
        <f t="shared" si="71"/>
        <v>354</v>
      </c>
      <c r="B358">
        <f t="shared" si="72"/>
        <v>8.8500000000000065E-2</v>
      </c>
      <c r="C358">
        <f t="shared" si="64"/>
        <v>0.55606189968539377</v>
      </c>
      <c r="D358">
        <f t="shared" si="65"/>
        <v>0.45399049973953115</v>
      </c>
      <c r="E358">
        <f t="shared" si="66"/>
        <v>-5.2335956242960766E-2</v>
      </c>
      <c r="F358">
        <f t="shared" si="67"/>
        <v>-2.3760026929087994E-2</v>
      </c>
      <c r="G358">
        <f t="shared" si="68"/>
        <v>0.20610737385374922</v>
      </c>
      <c r="H358">
        <f t="shared" si="69"/>
        <v>2.7390523158651041E-3</v>
      </c>
      <c r="I358">
        <f t="shared" si="75"/>
        <v>77.981880846100239</v>
      </c>
      <c r="J358">
        <f t="shared" si="76"/>
        <v>0.7071309908029404</v>
      </c>
      <c r="K358">
        <f t="shared" si="74"/>
        <v>0.45222748927151724</v>
      </c>
      <c r="L358">
        <f t="shared" si="77"/>
        <v>55.143404667379698</v>
      </c>
      <c r="M358">
        <f t="shared" si="70"/>
        <v>55.141550292028789</v>
      </c>
      <c r="N358">
        <f t="shared" si="73"/>
        <v>8.2009352160845855E-3</v>
      </c>
    </row>
    <row r="359" spans="1:14" x14ac:dyDescent="0.25">
      <c r="A359">
        <f t="shared" si="71"/>
        <v>355</v>
      </c>
      <c r="B359">
        <f t="shared" si="72"/>
        <v>8.8750000000000065E-2</v>
      </c>
      <c r="C359">
        <f t="shared" si="64"/>
        <v>0.55763269601218868</v>
      </c>
      <c r="D359">
        <f t="shared" si="65"/>
        <v>0.38268343236507313</v>
      </c>
      <c r="E359">
        <f t="shared" si="66"/>
        <v>-0.13052619222006884</v>
      </c>
      <c r="F359">
        <f t="shared" si="67"/>
        <v>-4.995021125231925E-2</v>
      </c>
      <c r="G359">
        <f t="shared" si="68"/>
        <v>0.1464466094067135</v>
      </c>
      <c r="H359">
        <f t="shared" si="69"/>
        <v>1.7037086855470358E-2</v>
      </c>
      <c r="I359">
        <f t="shared" si="75"/>
        <v>77.924001756023543</v>
      </c>
      <c r="J359">
        <f t="shared" si="76"/>
        <v>0.70725735315067106</v>
      </c>
      <c r="K359">
        <f t="shared" si="74"/>
        <v>0.45230685144323624</v>
      </c>
      <c r="L359">
        <f t="shared" si="77"/>
        <v>55.112323228873457</v>
      </c>
      <c r="M359">
        <f t="shared" si="70"/>
        <v>55.110467156393824</v>
      </c>
      <c r="N359">
        <f t="shared" si="73"/>
        <v>8.2070002667982561E-3</v>
      </c>
    </row>
    <row r="360" spans="1:14" x14ac:dyDescent="0.25">
      <c r="A360">
        <f t="shared" si="71"/>
        <v>356</v>
      </c>
      <c r="B360">
        <f t="shared" si="72"/>
        <v>8.9000000000000065E-2</v>
      </c>
      <c r="C360">
        <f t="shared" si="64"/>
        <v>0.55920349233898359</v>
      </c>
      <c r="D360">
        <f t="shared" si="65"/>
        <v>0.30901699437492985</v>
      </c>
      <c r="E360">
        <f t="shared" si="66"/>
        <v>-0.20791169081777677</v>
      </c>
      <c r="F360">
        <f t="shared" si="67"/>
        <v>-6.4248245791919081E-2</v>
      </c>
      <c r="G360">
        <f t="shared" si="68"/>
        <v>9.5491502812515436E-2</v>
      </c>
      <c r="H360">
        <f t="shared" si="69"/>
        <v>4.3227271178706804E-2</v>
      </c>
      <c r="I360">
        <f t="shared" si="75"/>
        <v>77.874534283040092</v>
      </c>
      <c r="J360">
        <f t="shared" si="76"/>
        <v>0.707488756723196</v>
      </c>
      <c r="K360">
        <f t="shared" si="74"/>
        <v>0.45191112761939806</v>
      </c>
      <c r="L360">
        <f t="shared" si="77"/>
        <v>55.095357440305939</v>
      </c>
      <c r="M360">
        <f t="shared" si="70"/>
        <v>55.09350404365118</v>
      </c>
      <c r="N360">
        <f t="shared" si="73"/>
        <v>8.2023449636211068E-3</v>
      </c>
    </row>
    <row r="361" spans="1:14" x14ac:dyDescent="0.25">
      <c r="A361">
        <f t="shared" si="71"/>
        <v>357</v>
      </c>
      <c r="B361">
        <f t="shared" si="72"/>
        <v>8.9250000000000065E-2</v>
      </c>
      <c r="C361">
        <f t="shared" si="64"/>
        <v>0.5607742886657785</v>
      </c>
      <c r="D361">
        <f t="shared" si="65"/>
        <v>0.23344536385588704</v>
      </c>
      <c r="E361">
        <f t="shared" si="66"/>
        <v>-0.28401534470394013</v>
      </c>
      <c r="F361">
        <f t="shared" si="67"/>
        <v>-6.630206548506648E-2</v>
      </c>
      <c r="G361">
        <f t="shared" si="68"/>
        <v>5.4496737905807495E-2</v>
      </c>
      <c r="H361">
        <f t="shared" si="69"/>
        <v>8.0664716027297939E-2</v>
      </c>
      <c r="I361">
        <f t="shared" si="75"/>
        <v>77.834713538422221</v>
      </c>
      <c r="J361">
        <f t="shared" si="76"/>
        <v>0.70781940419173384</v>
      </c>
      <c r="K361">
        <f t="shared" si="74"/>
        <v>0.45105006183387764</v>
      </c>
      <c r="L361">
        <f t="shared" si="77"/>
        <v>55.092920562200298</v>
      </c>
      <c r="M361">
        <f t="shared" si="70"/>
        <v>55.091074140142084</v>
      </c>
      <c r="N361">
        <f t="shared" si="73"/>
        <v>8.1870784345992129E-3</v>
      </c>
    </row>
    <row r="362" spans="1:14" x14ac:dyDescent="0.25">
      <c r="A362">
        <f t="shared" si="71"/>
        <v>358</v>
      </c>
      <c r="B362">
        <f t="shared" si="72"/>
        <v>8.9500000000000066E-2</v>
      </c>
      <c r="C362">
        <f t="shared" si="64"/>
        <v>0.56234508499257341</v>
      </c>
      <c r="D362">
        <f t="shared" si="65"/>
        <v>0.15643446504021177</v>
      </c>
      <c r="E362">
        <f t="shared" si="66"/>
        <v>-0.35836794954531775</v>
      </c>
      <c r="F362">
        <f t="shared" si="67"/>
        <v>-5.606109847467939E-2</v>
      </c>
      <c r="G362">
        <f t="shared" si="68"/>
        <v>2.4471741852417239E-2</v>
      </c>
      <c r="H362">
        <f t="shared" si="69"/>
        <v>0.12842758726131542</v>
      </c>
      <c r="I362">
        <f t="shared" si="75"/>
        <v>77.805535477594219</v>
      </c>
      <c r="J362">
        <f t="shared" si="76"/>
        <v>0.70824102171560666</v>
      </c>
      <c r="K362">
        <f t="shared" si="74"/>
        <v>0.449744856384028</v>
      </c>
      <c r="L362">
        <f t="shared" si="77"/>
        <v>55.105071941781212</v>
      </c>
      <c r="M362">
        <f t="shared" si="70"/>
        <v>55.103236595258529</v>
      </c>
      <c r="N362">
        <f t="shared" si="73"/>
        <v>8.1615873192069453E-3</v>
      </c>
    </row>
    <row r="363" spans="1:14" x14ac:dyDescent="0.25">
      <c r="A363">
        <f t="shared" si="71"/>
        <v>359</v>
      </c>
      <c r="B363">
        <f t="shared" si="72"/>
        <v>8.9750000000000066E-2</v>
      </c>
      <c r="C363">
        <f t="shared" si="64"/>
        <v>0.56391588131936832</v>
      </c>
      <c r="D363">
        <f t="shared" si="65"/>
        <v>7.8459095727825237E-2</v>
      </c>
      <c r="E363">
        <f t="shared" si="66"/>
        <v>-0.43051109680831245</v>
      </c>
      <c r="F363">
        <f t="shared" si="67"/>
        <v>-3.3777511356374426E-2</v>
      </c>
      <c r="G363">
        <f t="shared" si="68"/>
        <v>6.1558297024280444E-3</v>
      </c>
      <c r="H363">
        <f t="shared" si="69"/>
        <v>0.18533980447509618</v>
      </c>
      <c r="I363">
        <f t="shared" si="75"/>
        <v>77.787730840039856</v>
      </c>
      <c r="J363">
        <f t="shared" si="76"/>
        <v>0.70874307584338259</v>
      </c>
      <c r="K363">
        <f t="shared" si="74"/>
        <v>0.44802764975975301</v>
      </c>
      <c r="L363">
        <f t="shared" si="77"/>
        <v>55.131515618446997</v>
      </c>
      <c r="M363">
        <f t="shared" si="70"/>
        <v>55.129695134402077</v>
      </c>
      <c r="N363">
        <f t="shared" si="73"/>
        <v>8.126525177730522E-3</v>
      </c>
    </row>
    <row r="364" spans="1:14" x14ac:dyDescent="0.25">
      <c r="A364">
        <f t="shared" si="71"/>
        <v>360</v>
      </c>
      <c r="B364">
        <f t="shared" si="72"/>
        <v>9.0000000000000066E-2</v>
      </c>
      <c r="C364">
        <f t="shared" si="64"/>
        <v>0.56548667764616323</v>
      </c>
      <c r="D364">
        <f t="shared" si="65"/>
        <v>-2.3766362142185748E-14</v>
      </c>
      <c r="E364">
        <f t="shared" si="66"/>
        <v>-0.5000000000000201</v>
      </c>
      <c r="F364">
        <f t="shared" si="67"/>
        <v>1.1883181071093352E-14</v>
      </c>
      <c r="G364">
        <f t="shared" si="68"/>
        <v>5.6483996947351996E-28</v>
      </c>
      <c r="H364">
        <f t="shared" si="69"/>
        <v>0.2500000000000201</v>
      </c>
      <c r="I364">
        <f t="shared" si="75"/>
        <v>77.781745930520188</v>
      </c>
      <c r="J364">
        <f t="shared" si="76"/>
        <v>0.70931304795555561</v>
      </c>
      <c r="K364">
        <f t="shared" si="74"/>
        <v>0.44594072528722434</v>
      </c>
      <c r="L364">
        <f t="shared" si="77"/>
        <v>55.171607281281908</v>
      </c>
      <c r="M364">
        <f t="shared" si="70"/>
        <v>55.169805028380594</v>
      </c>
      <c r="N364">
        <f t="shared" si="73"/>
        <v>8.0827938003270542E-3</v>
      </c>
    </row>
    <row r="365" spans="1:14" x14ac:dyDescent="0.25">
      <c r="A365">
        <f t="shared" si="71"/>
        <v>361</v>
      </c>
      <c r="B365">
        <f t="shared" si="72"/>
        <v>9.0250000000000066E-2</v>
      </c>
      <c r="C365">
        <f t="shared" si="64"/>
        <v>0.56705747397295803</v>
      </c>
      <c r="D365">
        <f t="shared" si="65"/>
        <v>-7.8459095727861999E-2</v>
      </c>
      <c r="E365">
        <f t="shared" si="66"/>
        <v>-0.56640623692484637</v>
      </c>
      <c r="F365">
        <f t="shared" si="67"/>
        <v>4.4439721163744603E-2</v>
      </c>
      <c r="G365">
        <f t="shared" si="68"/>
        <v>6.1558297024338132E-3</v>
      </c>
      <c r="H365">
        <f t="shared" si="69"/>
        <v>0.32081602522736519</v>
      </c>
      <c r="I365">
        <f t="shared" si="75"/>
        <v>77.787730840039856</v>
      </c>
      <c r="J365">
        <f t="shared" si="76"/>
        <v>0.70993675796886457</v>
      </c>
      <c r="K365">
        <f t="shared" si="74"/>
        <v>0.44353546997306087</v>
      </c>
      <c r="L365">
        <f t="shared" si="77"/>
        <v>55.224369442332559</v>
      </c>
      <c r="M365">
        <f t="shared" si="70"/>
        <v>55.222588282242889</v>
      </c>
      <c r="N365">
        <f t="shared" si="73"/>
        <v>8.0315171445500683E-3</v>
      </c>
    </row>
    <row r="366" spans="1:14" x14ac:dyDescent="0.25">
      <c r="A366">
        <f t="shared" si="71"/>
        <v>362</v>
      </c>
      <c r="B366">
        <f t="shared" si="72"/>
        <v>9.0500000000000067E-2</v>
      </c>
      <c r="C366">
        <f t="shared" si="64"/>
        <v>0.56862827029975294</v>
      </c>
      <c r="D366">
        <f t="shared" si="65"/>
        <v>-0.15643446504024819</v>
      </c>
      <c r="E366">
        <f t="shared" si="66"/>
        <v>-0.6293203910498506</v>
      </c>
      <c r="F366">
        <f t="shared" si="67"/>
        <v>9.8447398712803169E-2</v>
      </c>
      <c r="G366">
        <f t="shared" si="68"/>
        <v>2.4471741852428633E-2</v>
      </c>
      <c r="H366">
        <f t="shared" si="69"/>
        <v>0.3960441545911369</v>
      </c>
      <c r="I366">
        <f t="shared" si="75"/>
        <v>77.805535477594233</v>
      </c>
      <c r="J366">
        <f t="shared" si="76"/>
        <v>0.71059872778692013</v>
      </c>
      <c r="K366">
        <f t="shared" si="74"/>
        <v>0.44087110918568195</v>
      </c>
      <c r="L366">
        <f t="shared" si="77"/>
        <v>55.28851452515854</v>
      </c>
      <c r="M366">
        <f t="shared" si="70"/>
        <v>55.286756742132667</v>
      </c>
      <c r="N366">
        <f t="shared" si="73"/>
        <v>7.9740089414966561E-3</v>
      </c>
    </row>
    <row r="367" spans="1:14" x14ac:dyDescent="0.25">
      <c r="A367">
        <f t="shared" si="71"/>
        <v>363</v>
      </c>
      <c r="B367">
        <f t="shared" si="72"/>
        <v>9.0750000000000067E-2</v>
      </c>
      <c r="C367">
        <f t="shared" si="64"/>
        <v>0.57019906662654785</v>
      </c>
      <c r="D367">
        <f t="shared" si="65"/>
        <v>-0.2334453638559229</v>
      </c>
      <c r="E367">
        <f t="shared" si="66"/>
        <v>-0.68835457569376657</v>
      </c>
      <c r="F367">
        <f t="shared" si="67"/>
        <v>0.16069318438472077</v>
      </c>
      <c r="G367">
        <f t="shared" si="68"/>
        <v>5.4496737905824238E-2</v>
      </c>
      <c r="H367">
        <f t="shared" si="69"/>
        <v>0.4738320218785454</v>
      </c>
      <c r="I367">
        <f t="shared" si="75"/>
        <v>77.83471353842225</v>
      </c>
      <c r="J367">
        <f t="shared" si="76"/>
        <v>0.71128257413877505</v>
      </c>
      <c r="K367">
        <f t="shared" si="74"/>
        <v>0.43801324833017946</v>
      </c>
      <c r="L367">
        <f t="shared" si="77"/>
        <v>55.362475402963142</v>
      </c>
      <c r="M367">
        <f t="shared" si="70"/>
        <v>55.3607426534181</v>
      </c>
      <c r="N367">
        <f t="shared" si="73"/>
        <v>7.9117352528412389E-3</v>
      </c>
    </row>
    <row r="368" spans="1:14" x14ac:dyDescent="0.25">
      <c r="A368">
        <f t="shared" si="71"/>
        <v>364</v>
      </c>
      <c r="B368">
        <f t="shared" si="72"/>
        <v>9.1000000000000067E-2</v>
      </c>
      <c r="C368">
        <f t="shared" si="64"/>
        <v>0.57176986295334276</v>
      </c>
      <c r="D368">
        <f t="shared" si="65"/>
        <v>-0.30901699437496494</v>
      </c>
      <c r="E368">
        <f t="shared" si="66"/>
        <v>-0.74314482547740612</v>
      </c>
      <c r="F368">
        <f t="shared" si="67"/>
        <v>0.2296443803543359</v>
      </c>
      <c r="G368">
        <f t="shared" si="68"/>
        <v>9.5491502812537113E-2</v>
      </c>
      <c r="H368">
        <f t="shared" si="69"/>
        <v>0.55226423163384442</v>
      </c>
      <c r="I368">
        <f t="shared" si="75"/>
        <v>77.87453428304012</v>
      </c>
      <c r="J368">
        <f t="shared" si="76"/>
        <v>0.71197141999902158</v>
      </c>
      <c r="K368">
        <f t="shared" si="74"/>
        <v>0.43503225742551233</v>
      </c>
      <c r="L368">
        <f t="shared" si="77"/>
        <v>55.444442755258564</v>
      </c>
      <c r="M368">
        <f t="shared" si="70"/>
        <v>55.44273603797113</v>
      </c>
      <c r="N368">
        <f t="shared" si="73"/>
        <v>7.8462734190660102E-3</v>
      </c>
    </row>
    <row r="369" spans="1:14" x14ac:dyDescent="0.25">
      <c r="A369">
        <f t="shared" si="71"/>
        <v>365</v>
      </c>
      <c r="B369">
        <f t="shared" si="72"/>
        <v>9.1250000000000067E-2</v>
      </c>
      <c r="C369">
        <f t="shared" si="64"/>
        <v>0.57334065928013767</v>
      </c>
      <c r="D369">
        <f t="shared" si="65"/>
        <v>-0.38268343236510721</v>
      </c>
      <c r="E369">
        <f t="shared" si="66"/>
        <v>-0.79335334029124627</v>
      </c>
      <c r="F369">
        <f t="shared" si="67"/>
        <v>0.30360317934097703</v>
      </c>
      <c r="G369">
        <f t="shared" si="68"/>
        <v>0.14644660940673959</v>
      </c>
      <c r="H369">
        <f t="shared" si="69"/>
        <v>0.62940952255127802</v>
      </c>
      <c r="I369">
        <f t="shared" si="75"/>
        <v>77.924001756023571</v>
      </c>
      <c r="J369">
        <f t="shared" si="76"/>
        <v>0.71264831370872639</v>
      </c>
      <c r="K369">
        <f t="shared" si="74"/>
        <v>0.43200153836109489</v>
      </c>
      <c r="L369">
        <f t="shared" si="77"/>
        <v>55.532408448866029</v>
      </c>
      <c r="M369">
        <f t="shared" si="70"/>
        <v>55.530728095375629</v>
      </c>
      <c r="N369">
        <f t="shared" si="73"/>
        <v>7.7792689067120117E-3</v>
      </c>
    </row>
    <row r="370" spans="1:14" x14ac:dyDescent="0.25">
      <c r="A370">
        <f t="shared" si="71"/>
        <v>366</v>
      </c>
      <c r="B370">
        <f t="shared" si="72"/>
        <v>9.1500000000000067E-2</v>
      </c>
      <c r="C370">
        <f t="shared" si="64"/>
        <v>0.57491145560693258</v>
      </c>
      <c r="D370">
        <f t="shared" si="65"/>
        <v>-0.45399049973956401</v>
      </c>
      <c r="E370">
        <f t="shared" si="66"/>
        <v>-0.83867056794543426</v>
      </c>
      <c r="F370">
        <f t="shared" si="67"/>
        <v>0.38074847025841169</v>
      </c>
      <c r="G370">
        <f t="shared" si="68"/>
        <v>0.20610737385377909</v>
      </c>
      <c r="H370">
        <f t="shared" si="69"/>
        <v>0.70336832153791728</v>
      </c>
      <c r="I370">
        <f t="shared" si="75"/>
        <v>77.981880846100267</v>
      </c>
      <c r="J370">
        <f t="shared" si="76"/>
        <v>0.7132966451759214</v>
      </c>
      <c r="K370">
        <f t="shared" si="74"/>
        <v>0.42899571749867321</v>
      </c>
      <c r="L370">
        <f t="shared" si="77"/>
        <v>55.624213992031763</v>
      </c>
      <c r="M370">
        <f t="shared" si="70"/>
        <v>55.622559675959806</v>
      </c>
      <c r="N370">
        <f t="shared" si="73"/>
        <v>7.7123915415708592E-3</v>
      </c>
    </row>
    <row r="371" spans="1:14" x14ac:dyDescent="0.25">
      <c r="A371">
        <f t="shared" si="71"/>
        <v>367</v>
      </c>
      <c r="B371">
        <f t="shared" si="72"/>
        <v>9.1750000000000068E-2</v>
      </c>
      <c r="C371">
        <f t="shared" si="64"/>
        <v>0.57648225193372749</v>
      </c>
      <c r="D371">
        <f t="shared" si="65"/>
        <v>-0.52249856471596567</v>
      </c>
      <c r="E371">
        <f t="shared" si="66"/>
        <v>-0.87881711266197449</v>
      </c>
      <c r="F371">
        <f t="shared" si="67"/>
        <v>0.45918068001371076</v>
      </c>
      <c r="G371">
        <f t="shared" si="68"/>
        <v>0.27300475013024417</v>
      </c>
      <c r="H371">
        <f t="shared" si="69"/>
        <v>0.77231951750752958</v>
      </c>
      <c r="I371">
        <f t="shared" si="75"/>
        <v>78.046729389880227</v>
      </c>
      <c r="J371">
        <f t="shared" si="76"/>
        <v>0.7139005490744802</v>
      </c>
      <c r="K371">
        <f t="shared" si="74"/>
        <v>0.42608880812362765</v>
      </c>
      <c r="L371">
        <f t="shared" si="77"/>
        <v>55.717602964902866</v>
      </c>
      <c r="M371">
        <f t="shared" si="70"/>
        <v>55.715973728206031</v>
      </c>
      <c r="N371">
        <f t="shared" si="73"/>
        <v>7.6472925152940574E-3</v>
      </c>
    </row>
    <row r="372" spans="1:14" x14ac:dyDescent="0.25">
      <c r="A372">
        <f t="shared" si="71"/>
        <v>368</v>
      </c>
      <c r="B372">
        <f t="shared" si="72"/>
        <v>9.2000000000000068E-2</v>
      </c>
      <c r="C372">
        <f t="shared" si="64"/>
        <v>0.5780530482605224</v>
      </c>
      <c r="D372">
        <f t="shared" si="65"/>
        <v>-0.58778525229248946</v>
      </c>
      <c r="E372">
        <f t="shared" si="66"/>
        <v>-0.91354545764260886</v>
      </c>
      <c r="F372">
        <f t="shared" si="67"/>
        <v>0.53696854730111854</v>
      </c>
      <c r="G372">
        <f t="shared" si="68"/>
        <v>0.34549150281254548</v>
      </c>
      <c r="H372">
        <f t="shared" si="69"/>
        <v>0.83456530317944366</v>
      </c>
      <c r="I372">
        <f t="shared" si="75"/>
        <v>78.116935358476468</v>
      </c>
      <c r="J372">
        <f t="shared" si="76"/>
        <v>0.71444528572154731</v>
      </c>
      <c r="K372">
        <f t="shared" si="74"/>
        <v>0.42335238799225061</v>
      </c>
      <c r="L372">
        <f t="shared" si="77"/>
        <v>55.810276201878359</v>
      </c>
      <c r="M372">
        <f t="shared" si="70"/>
        <v>55.808670495591734</v>
      </c>
      <c r="N372">
        <f t="shared" si="73"/>
        <v>7.5855633908868238E-3</v>
      </c>
    </row>
    <row r="373" spans="1:14" x14ac:dyDescent="0.25">
      <c r="A373">
        <f t="shared" si="71"/>
        <v>369</v>
      </c>
      <c r="B373">
        <f t="shared" si="72"/>
        <v>9.2250000000000068E-2</v>
      </c>
      <c r="C373">
        <f t="shared" si="64"/>
        <v>0.57962384458731731</v>
      </c>
      <c r="D373">
        <f t="shared" si="65"/>
        <v>-0.64944804833020209</v>
      </c>
      <c r="E373">
        <f t="shared" si="66"/>
        <v>-0.94264149109218631</v>
      </c>
      <c r="F373">
        <f t="shared" si="67"/>
        <v>0.61219667666489197</v>
      </c>
      <c r="G373">
        <f t="shared" si="68"/>
        <v>0.4217827674799085</v>
      </c>
      <c r="H373">
        <f t="shared" si="69"/>
        <v>0.88857298072850033</v>
      </c>
      <c r="I373">
        <f t="shared" si="75"/>
        <v>78.190758044549824</v>
      </c>
      <c r="J373">
        <f t="shared" si="76"/>
        <v>0.71491759123629528</v>
      </c>
      <c r="K373">
        <f t="shared" si="74"/>
        <v>0.42085383684983457</v>
      </c>
      <c r="L373">
        <f t="shared" si="77"/>
        <v>55.89994839814954</v>
      </c>
      <c r="M373">
        <f t="shared" si="70"/>
        <v>55.898364134952914</v>
      </c>
      <c r="N373">
        <f t="shared" si="73"/>
        <v>7.5286981278101881E-3</v>
      </c>
    </row>
    <row r="374" spans="1:14" x14ac:dyDescent="0.25">
      <c r="A374">
        <f t="shared" si="71"/>
        <v>370</v>
      </c>
      <c r="B374">
        <f t="shared" si="72"/>
        <v>9.2500000000000068E-2</v>
      </c>
      <c r="C374">
        <f t="shared" si="64"/>
        <v>0.5811946409141121</v>
      </c>
      <c r="D374">
        <f t="shared" si="65"/>
        <v>-0.7071067811865599</v>
      </c>
      <c r="E374">
        <f t="shared" si="66"/>
        <v>-0.96592582628907264</v>
      </c>
      <c r="F374">
        <f t="shared" si="67"/>
        <v>0.6830127018922344</v>
      </c>
      <c r="G374">
        <f t="shared" si="68"/>
        <v>0.50000000000001754</v>
      </c>
      <c r="H374">
        <f t="shared" si="69"/>
        <v>0.93301270189222774</v>
      </c>
      <c r="I374">
        <f t="shared" si="75"/>
        <v>78.26637208916739</v>
      </c>
      <c r="J374">
        <f t="shared" si="76"/>
        <v>0.71530598961119651</v>
      </c>
      <c r="K374">
        <f t="shared" si="74"/>
        <v>0.41865467731772138</v>
      </c>
      <c r="L374">
        <f t="shared" si="77"/>
        <v>55.984404740520013</v>
      </c>
      <c r="M374">
        <f t="shared" si="70"/>
        <v>55.982839356462797</v>
      </c>
      <c r="N374">
        <f t="shared" si="73"/>
        <v>7.4780589211965011E-3</v>
      </c>
    </row>
    <row r="375" spans="1:14" x14ac:dyDescent="0.25">
      <c r="A375">
        <f t="shared" si="71"/>
        <v>371</v>
      </c>
      <c r="B375">
        <f t="shared" si="72"/>
        <v>9.2750000000000069E-2</v>
      </c>
      <c r="C375">
        <f t="shared" si="64"/>
        <v>0.58276543724090701</v>
      </c>
      <c r="D375">
        <f t="shared" si="65"/>
        <v>-0.76040596560004259</v>
      </c>
      <c r="E375">
        <f t="shared" si="66"/>
        <v>-0.98325490756395773</v>
      </c>
      <c r="F375">
        <f t="shared" si="67"/>
        <v>0.74767289741715193</v>
      </c>
      <c r="G375">
        <f t="shared" si="68"/>
        <v>0.57821723252013313</v>
      </c>
      <c r="H375">
        <f t="shared" si="69"/>
        <v>0.96679021324860703</v>
      </c>
      <c r="I375">
        <f t="shared" si="75"/>
        <v>78.341913152658393</v>
      </c>
      <c r="J375">
        <f t="shared" si="76"/>
        <v>0.71560106041397675</v>
      </c>
      <c r="K375">
        <f t="shared" si="74"/>
        <v>0.4168090600021841</v>
      </c>
      <c r="L375">
        <f t="shared" si="77"/>
        <v>56.061556126902019</v>
      </c>
      <c r="M375">
        <f t="shared" si="70"/>
        <v>56.060006649814845</v>
      </c>
      <c r="N375">
        <f t="shared" si="73"/>
        <v>7.4348464223627161E-3</v>
      </c>
    </row>
    <row r="376" spans="1:14" x14ac:dyDescent="0.25">
      <c r="A376">
        <f t="shared" si="71"/>
        <v>372</v>
      </c>
      <c r="B376">
        <f t="shared" si="72"/>
        <v>9.3000000000000069E-2</v>
      </c>
      <c r="C376">
        <f t="shared" si="64"/>
        <v>0.58433623356770192</v>
      </c>
      <c r="D376">
        <f t="shared" si="65"/>
        <v>-0.80901699437495822</v>
      </c>
      <c r="E376">
        <f t="shared" si="66"/>
        <v>-0.99452189536827518</v>
      </c>
      <c r="F376">
        <f t="shared" si="67"/>
        <v>0.80458511463092863</v>
      </c>
      <c r="G376">
        <f t="shared" si="68"/>
        <v>0.65450849718749116</v>
      </c>
      <c r="H376">
        <f t="shared" si="69"/>
        <v>0.98907380036690651</v>
      </c>
      <c r="I376">
        <f t="shared" si="75"/>
        <v>78.415524038289817</v>
      </c>
      <c r="J376">
        <f t="shared" si="76"/>
        <v>0.71579565694727909</v>
      </c>
      <c r="K376">
        <f t="shared" si="74"/>
        <v>0.41536243012678375</v>
      </c>
      <c r="L376">
        <f t="shared" si="77"/>
        <v>56.129491543852815</v>
      </c>
      <c r="M376">
        <f t="shared" si="70"/>
        <v>56.127954666307623</v>
      </c>
      <c r="N376">
        <f t="shared" si="73"/>
        <v>7.4000746969580091E-3</v>
      </c>
    </row>
    <row r="377" spans="1:14" x14ac:dyDescent="0.25">
      <c r="A377">
        <f t="shared" si="71"/>
        <v>373</v>
      </c>
      <c r="B377">
        <f t="shared" si="72"/>
        <v>9.3250000000000069E-2</v>
      </c>
      <c r="C377">
        <f t="shared" si="64"/>
        <v>0.58590702989449683</v>
      </c>
      <c r="D377">
        <f t="shared" si="65"/>
        <v>-0.85264016435410206</v>
      </c>
      <c r="E377">
        <f t="shared" si="66"/>
        <v>-0.9996573249755577</v>
      </c>
      <c r="F377">
        <f t="shared" si="67"/>
        <v>0.85234798586494154</v>
      </c>
      <c r="G377">
        <f t="shared" si="68"/>
        <v>0.72699524986979014</v>
      </c>
      <c r="H377">
        <f t="shared" si="69"/>
        <v>0.99931476737728775</v>
      </c>
      <c r="I377">
        <f t="shared" si="75"/>
        <v>78.485400117109705</v>
      </c>
      <c r="J377">
        <f t="shared" si="76"/>
        <v>0.71588507079853003</v>
      </c>
      <c r="K377">
        <f t="shared" si="74"/>
        <v>0.41435040852014199</v>
      </c>
      <c r="L377">
        <f t="shared" si="77"/>
        <v>56.186526219488037</v>
      </c>
      <c r="M377">
        <f t="shared" si="70"/>
        <v>56.184998374585504</v>
      </c>
      <c r="N377">
        <f t="shared" si="73"/>
        <v>7.3745510961385338E-3</v>
      </c>
    </row>
    <row r="378" spans="1:14" x14ac:dyDescent="0.25">
      <c r="A378">
        <f t="shared" si="71"/>
        <v>374</v>
      </c>
      <c r="B378">
        <f t="shared" si="72"/>
        <v>9.3500000000000069E-2</v>
      </c>
      <c r="C378">
        <f t="shared" si="64"/>
        <v>0.58747782622129174</v>
      </c>
      <c r="D378">
        <f t="shared" si="65"/>
        <v>-0.89100652418837667</v>
      </c>
      <c r="E378">
        <f t="shared" si="66"/>
        <v>-0.99862953475457295</v>
      </c>
      <c r="F378">
        <f t="shared" si="67"/>
        <v>0.88978543071352778</v>
      </c>
      <c r="G378">
        <f t="shared" si="68"/>
        <v>0.79389262614625222</v>
      </c>
      <c r="H378">
        <f t="shared" si="69"/>
        <v>0.99726094768413487</v>
      </c>
      <c r="I378">
        <f t="shared" si="75"/>
        <v>78.549832970571117</v>
      </c>
      <c r="J378">
        <f t="shared" si="76"/>
        <v>0.71586713980043248</v>
      </c>
      <c r="K378">
        <f t="shared" si="74"/>
        <v>0.41379791451292153</v>
      </c>
      <c r="L378">
        <f t="shared" si="77"/>
        <v>56.231244260444456</v>
      </c>
      <c r="M378">
        <f t="shared" si="70"/>
        <v>56.229721699148683</v>
      </c>
      <c r="N378">
        <f t="shared" si="73"/>
        <v>7.3588610736825769E-3</v>
      </c>
    </row>
    <row r="379" spans="1:14" x14ac:dyDescent="0.25">
      <c r="A379">
        <f t="shared" si="71"/>
        <v>375</v>
      </c>
      <c r="B379">
        <f t="shared" si="72"/>
        <v>9.3750000000000069E-2</v>
      </c>
      <c r="C379">
        <f t="shared" si="64"/>
        <v>0.58904862254808665</v>
      </c>
      <c r="D379">
        <f t="shared" si="65"/>
        <v>-0.92387953251129429</v>
      </c>
      <c r="E379">
        <f t="shared" si="66"/>
        <v>-0.99144486137380794</v>
      </c>
      <c r="F379">
        <f t="shared" si="67"/>
        <v>0.91597561503675862</v>
      </c>
      <c r="G379">
        <f t="shared" si="68"/>
        <v>0.85355339059328772</v>
      </c>
      <c r="H379">
        <f t="shared" si="69"/>
        <v>0.98296291314452922</v>
      </c>
      <c r="I379">
        <f t="shared" si="75"/>
        <v>78.607251257929349</v>
      </c>
      <c r="J379">
        <f t="shared" si="76"/>
        <v>0.71574229748863316</v>
      </c>
      <c r="K379">
        <f t="shared" si="74"/>
        <v>0.41371855234120253</v>
      </c>
      <c r="L379">
        <f t="shared" si="77"/>
        <v>56.262534614616598</v>
      </c>
      <c r="M379">
        <f t="shared" si="70"/>
        <v>56.261013483764934</v>
      </c>
      <c r="N379">
        <f t="shared" si="73"/>
        <v>7.3533578814936901E-3</v>
      </c>
    </row>
    <row r="380" spans="1:14" x14ac:dyDescent="0.25">
      <c r="A380">
        <f t="shared" si="71"/>
        <v>376</v>
      </c>
      <c r="B380">
        <f t="shared" si="72"/>
        <v>9.400000000000007E-2</v>
      </c>
      <c r="C380">
        <f t="shared" si="64"/>
        <v>0.59061941887488156</v>
      </c>
      <c r="D380">
        <f t="shared" si="65"/>
        <v>-0.95105651629515975</v>
      </c>
      <c r="E380">
        <f t="shared" si="66"/>
        <v>-0.97814760073380158</v>
      </c>
      <c r="F380">
        <f t="shared" si="67"/>
        <v>0.93027364957635816</v>
      </c>
      <c r="G380">
        <f t="shared" si="68"/>
        <v>0.90450849718748549</v>
      </c>
      <c r="H380">
        <f t="shared" si="69"/>
        <v>0.9567727288212925</v>
      </c>
      <c r="I380">
        <f t="shared" si="75"/>
        <v>78.656257921411495</v>
      </c>
      <c r="J380">
        <f t="shared" si="76"/>
        <v>0.71551356319098969</v>
      </c>
      <c r="K380">
        <f t="shared" si="74"/>
        <v>0.41411427616504076</v>
      </c>
      <c r="L380">
        <f t="shared" si="77"/>
        <v>56.279619372618647</v>
      </c>
      <c r="M380">
        <f t="shared" si="70"/>
        <v>56.278095793062406</v>
      </c>
      <c r="N380">
        <f t="shared" si="73"/>
        <v>7.3581570163659821E-3</v>
      </c>
    </row>
    <row r="381" spans="1:14" x14ac:dyDescent="0.25">
      <c r="A381">
        <f t="shared" si="71"/>
        <v>377</v>
      </c>
      <c r="B381">
        <f t="shared" si="72"/>
        <v>9.425000000000007E-2</v>
      </c>
      <c r="C381">
        <f t="shared" si="64"/>
        <v>0.59219021520167647</v>
      </c>
      <c r="D381">
        <f t="shared" si="65"/>
        <v>-0.97236992039768144</v>
      </c>
      <c r="E381">
        <f t="shared" si="66"/>
        <v>-0.95881973486818739</v>
      </c>
      <c r="F381">
        <f t="shared" si="67"/>
        <v>0.93232746926950538</v>
      </c>
      <c r="G381">
        <f t="shared" si="68"/>
        <v>0.94550326209419333</v>
      </c>
      <c r="H381">
        <f t="shared" si="69"/>
        <v>0.91933528397270114</v>
      </c>
      <c r="I381">
        <f t="shared" si="75"/>
        <v>78.695662957953076</v>
      </c>
      <c r="J381">
        <f t="shared" si="76"/>
        <v>0.71518647292133475</v>
      </c>
      <c r="K381">
        <f t="shared" si="74"/>
        <v>0.41497534195056118</v>
      </c>
      <c r="L381">
        <f t="shared" si="77"/>
        <v>56.282073625104594</v>
      </c>
      <c r="M381">
        <f t="shared" si="70"/>
        <v>56.280543769648027</v>
      </c>
      <c r="N381">
        <f t="shared" si="73"/>
        <v>7.373135267096158E-3</v>
      </c>
    </row>
    <row r="382" spans="1:14" x14ac:dyDescent="0.25">
      <c r="A382">
        <f t="shared" si="71"/>
        <v>378</v>
      </c>
      <c r="B382">
        <f t="shared" si="72"/>
        <v>9.450000000000007E-2</v>
      </c>
      <c r="C382">
        <f t="shared" si="64"/>
        <v>0.59376101152847138</v>
      </c>
      <c r="D382">
        <f t="shared" si="65"/>
        <v>-0.98768834059514155</v>
      </c>
      <c r="E382">
        <f t="shared" si="66"/>
        <v>-0.93358042649719319</v>
      </c>
      <c r="F382">
        <f t="shared" si="67"/>
        <v>0.92208650225911726</v>
      </c>
      <c r="G382">
        <f t="shared" si="68"/>
        <v>0.97552825814758437</v>
      </c>
      <c r="H382">
        <f t="shared" si="69"/>
        <v>0.87157241273868113</v>
      </c>
      <c r="I382">
        <f t="shared" si="75"/>
        <v>78.72451110705498</v>
      </c>
      <c r="J382">
        <f t="shared" si="76"/>
        <v>0.71476895229104187</v>
      </c>
      <c r="K382">
        <f t="shared" si="74"/>
        <v>0.41628054740041082</v>
      </c>
      <c r="L382">
        <f t="shared" si="77"/>
        <v>56.269836323614179</v>
      </c>
      <c r="M382">
        <f t="shared" si="70"/>
        <v>56.268296494493114</v>
      </c>
      <c r="N382">
        <f t="shared" si="73"/>
        <v>7.3979342148133226E-3</v>
      </c>
    </row>
    <row r="383" spans="1:14" x14ac:dyDescent="0.25">
      <c r="A383">
        <f t="shared" si="71"/>
        <v>379</v>
      </c>
      <c r="B383">
        <f t="shared" si="72"/>
        <v>9.475000000000007E-2</v>
      </c>
      <c r="C383">
        <f t="shared" si="64"/>
        <v>0.59533180785526618</v>
      </c>
      <c r="D383">
        <f t="shared" si="65"/>
        <v>-0.99691733373312941</v>
      </c>
      <c r="E383">
        <f t="shared" si="66"/>
        <v>-0.90258528434985319</v>
      </c>
      <c r="F383">
        <f t="shared" si="67"/>
        <v>0.89980291514081412</v>
      </c>
      <c r="G383">
        <f t="shared" si="68"/>
        <v>0.99384417029757166</v>
      </c>
      <c r="H383">
        <f t="shared" si="69"/>
        <v>0.81466019552490532</v>
      </c>
      <c r="I383">
        <f t="shared" si="75"/>
        <v>78.742103926409726</v>
      </c>
      <c r="J383">
        <f t="shared" si="76"/>
        <v>0.71427113370488482</v>
      </c>
      <c r="K383">
        <f t="shared" si="74"/>
        <v>0.41799775402468592</v>
      </c>
      <c r="L383">
        <f t="shared" si="77"/>
        <v>56.243211841824539</v>
      </c>
      <c r="M383">
        <f t="shared" si="70"/>
        <v>56.241658547396902</v>
      </c>
      <c r="N383">
        <f t="shared" si="73"/>
        <v>7.431968060434402E-3</v>
      </c>
    </row>
    <row r="384" spans="1:14" x14ac:dyDescent="0.25">
      <c r="A384">
        <f t="shared" si="71"/>
        <v>380</v>
      </c>
      <c r="B384">
        <f t="shared" si="72"/>
        <v>9.500000000000007E-2</v>
      </c>
      <c r="C384">
        <f t="shared" si="64"/>
        <v>0.59690260418206109</v>
      </c>
      <c r="D384">
        <f t="shared" si="65"/>
        <v>-1</v>
      </c>
      <c r="E384">
        <f t="shared" si="66"/>
        <v>-0.86602540378442971</v>
      </c>
      <c r="F384">
        <f t="shared" si="67"/>
        <v>0.86602540378442971</v>
      </c>
      <c r="G384">
        <f t="shared" si="68"/>
        <v>1</v>
      </c>
      <c r="H384">
        <f t="shared" si="69"/>
        <v>0.74999999999998457</v>
      </c>
      <c r="I384">
        <f t="shared" si="75"/>
        <v>78.748015848019961</v>
      </c>
      <c r="J384">
        <f t="shared" si="76"/>
        <v>0.71370512118100982</v>
      </c>
      <c r="K384">
        <f t="shared" si="74"/>
        <v>0.42008467849721459</v>
      </c>
      <c r="L384">
        <f t="shared" si="77"/>
        <v>56.202862193575164</v>
      </c>
      <c r="M384">
        <f t="shared" si="70"/>
        <v>56.201292223692619</v>
      </c>
      <c r="N384">
        <f t="shared" si="73"/>
        <v>7.4744356799899174E-3</v>
      </c>
    </row>
    <row r="385" spans="1:14" x14ac:dyDescent="0.25">
      <c r="A385">
        <f t="shared" si="71"/>
        <v>381</v>
      </c>
      <c r="B385">
        <f t="shared" si="72"/>
        <v>9.5250000000000071E-2</v>
      </c>
      <c r="C385">
        <f t="shared" si="64"/>
        <v>0.598473400508856</v>
      </c>
      <c r="D385">
        <f t="shared" si="65"/>
        <v>-0.99691733373312652</v>
      </c>
      <c r="E385">
        <f t="shared" si="66"/>
        <v>-0.82412618862200537</v>
      </c>
      <c r="F385">
        <f t="shared" si="67"/>
        <v>0.82158568262069331</v>
      </c>
      <c r="G385">
        <f t="shared" si="68"/>
        <v>0.993844170297566</v>
      </c>
      <c r="H385">
        <f t="shared" si="69"/>
        <v>0.67918397477263315</v>
      </c>
      <c r="I385">
        <f t="shared" si="75"/>
        <v>78.742103926409726</v>
      </c>
      <c r="J385">
        <f t="shared" si="76"/>
        <v>0.71308470722955353</v>
      </c>
      <c r="K385">
        <f t="shared" si="74"/>
        <v>0.42248993381137806</v>
      </c>
      <c r="L385">
        <f t="shared" si="77"/>
        <v>56.149790125002959</v>
      </c>
      <c r="M385">
        <f t="shared" si="70"/>
        <v>56.148200624220429</v>
      </c>
      <c r="N385">
        <f t="shared" si="73"/>
        <v>7.5243368295912364E-3</v>
      </c>
    </row>
    <row r="386" spans="1:14" x14ac:dyDescent="0.25">
      <c r="A386">
        <f t="shared" si="71"/>
        <v>382</v>
      </c>
      <c r="B386">
        <f t="shared" si="72"/>
        <v>9.5500000000000071E-2</v>
      </c>
      <c r="C386">
        <f t="shared" si="64"/>
        <v>0.60004419683565091</v>
      </c>
      <c r="D386">
        <f t="shared" si="65"/>
        <v>-0.98768834059513466</v>
      </c>
      <c r="E386">
        <f t="shared" si="66"/>
        <v>-0.77714596145695913</v>
      </c>
      <c r="F386">
        <f t="shared" si="67"/>
        <v>0.76757800507163443</v>
      </c>
      <c r="G386">
        <f t="shared" si="68"/>
        <v>0.97552825814757071</v>
      </c>
      <c r="H386">
        <f t="shared" si="69"/>
        <v>0.60395584540886138</v>
      </c>
      <c r="I386">
        <f t="shared" si="75"/>
        <v>78.72451110705498</v>
      </c>
      <c r="J386">
        <f t="shared" si="76"/>
        <v>0.71242504733312884</v>
      </c>
      <c r="K386">
        <f t="shared" si="74"/>
        <v>0.42515429459875687</v>
      </c>
      <c r="L386">
        <f t="shared" si="77"/>
        <v>56.085313551721072</v>
      </c>
      <c r="M386">
        <f t="shared" si="70"/>
        <v>56.083702089115441</v>
      </c>
      <c r="N386">
        <f t="shared" si="73"/>
        <v>7.5804924261800846E-3</v>
      </c>
    </row>
    <row r="387" spans="1:14" x14ac:dyDescent="0.25">
      <c r="A387">
        <f t="shared" si="71"/>
        <v>383</v>
      </c>
      <c r="B387">
        <f t="shared" si="72"/>
        <v>9.5750000000000071E-2</v>
      </c>
      <c r="C387">
        <f t="shared" si="64"/>
        <v>0.60161499316244582</v>
      </c>
      <c r="D387">
        <f t="shared" si="65"/>
        <v>-0.97236992039767201</v>
      </c>
      <c r="E387">
        <f t="shared" si="66"/>
        <v>-0.72537437101227453</v>
      </c>
      <c r="F387">
        <f t="shared" si="67"/>
        <v>0.7053322193997168</v>
      </c>
      <c r="G387">
        <f t="shared" si="68"/>
        <v>0.94550326209417501</v>
      </c>
      <c r="H387">
        <f t="shared" si="69"/>
        <v>0.52616797812145288</v>
      </c>
      <c r="I387">
        <f t="shared" si="75"/>
        <v>78.695662957953061</v>
      </c>
      <c r="J387">
        <f t="shared" si="76"/>
        <v>0.71174229867734995</v>
      </c>
      <c r="K387">
        <f t="shared" si="74"/>
        <v>0.42801215545425936</v>
      </c>
      <c r="L387">
        <f t="shared" si="77"/>
        <v>56.011032049631496</v>
      </c>
      <c r="M387">
        <f t="shared" si="70"/>
        <v>56.009396683588996</v>
      </c>
      <c r="N387">
        <f t="shared" si="73"/>
        <v>7.6415688087124846E-3</v>
      </c>
    </row>
    <row r="388" spans="1:14" x14ac:dyDescent="0.25">
      <c r="A388">
        <f t="shared" si="71"/>
        <v>384</v>
      </c>
      <c r="B388">
        <f t="shared" si="72"/>
        <v>9.6000000000000071E-2</v>
      </c>
      <c r="C388">
        <f t="shared" si="64"/>
        <v>0.60318578948924073</v>
      </c>
      <c r="D388">
        <f t="shared" si="65"/>
        <v>-0.95105651629514731</v>
      </c>
      <c r="E388">
        <f t="shared" si="66"/>
        <v>-0.66913060635884369</v>
      </c>
      <c r="F388">
        <f t="shared" si="67"/>
        <v>0.63638102343010139</v>
      </c>
      <c r="G388">
        <f t="shared" si="68"/>
        <v>0.90450849718746185</v>
      </c>
      <c r="H388">
        <f t="shared" si="69"/>
        <v>0.44773576836615381</v>
      </c>
      <c r="I388">
        <f t="shared" si="75"/>
        <v>78.656257921411481</v>
      </c>
      <c r="J388">
        <f t="shared" si="76"/>
        <v>0.71105323085165495</v>
      </c>
      <c r="K388">
        <f t="shared" si="74"/>
        <v>0.43099314635892649</v>
      </c>
      <c r="L388">
        <f t="shared" si="77"/>
        <v>55.928786321720708</v>
      </c>
      <c r="M388">
        <f t="shared" si="70"/>
        <v>55.927125657667098</v>
      </c>
      <c r="N388">
        <f t="shared" si="73"/>
        <v>7.7061058303627876E-3</v>
      </c>
    </row>
    <row r="389" spans="1:14" x14ac:dyDescent="0.25">
      <c r="A389">
        <f t="shared" si="71"/>
        <v>385</v>
      </c>
      <c r="B389">
        <f t="shared" si="72"/>
        <v>9.6250000000000072E-2</v>
      </c>
      <c r="C389">
        <f t="shared" ref="C389:C404" si="78">2*PI()*B389</f>
        <v>0.60475658581603564</v>
      </c>
      <c r="D389">
        <f t="shared" ref="D389:D404" si="79">$C$1*SIN(C389*50)</f>
        <v>-0.92387953251127886</v>
      </c>
      <c r="E389">
        <f t="shared" ref="E389:E404" si="80">$C$2*SIN(C389*50 + PI()*30/180)</f>
        <v>-0.60876142900870478</v>
      </c>
      <c r="F389">
        <f t="shared" ref="F389:F404" si="81">D389*E389</f>
        <v>0.56242222444346024</v>
      </c>
      <c r="G389">
        <f t="shared" ref="G389:G404" si="82">POWER(D389,2)</f>
        <v>0.85355339059325919</v>
      </c>
      <c r="H389">
        <f t="shared" ref="H389:H404" si="83">POWER(E389,2)</f>
        <v>0.37059047744872031</v>
      </c>
      <c r="I389">
        <f t="shared" si="75"/>
        <v>78.607251257929335</v>
      </c>
      <c r="J389">
        <f t="shared" si="76"/>
        <v>0.71037481723953944</v>
      </c>
      <c r="K389">
        <f t="shared" si="74"/>
        <v>0.43402386542334381</v>
      </c>
      <c r="L389">
        <f t="shared" si="77"/>
        <v>55.840611746054108</v>
      </c>
      <c r="M389">
        <f t="shared" ref="M389:M404" si="84">SQRT(POWER(L389,2)-POWER(K389,2))</f>
        <v>55.83892498479711</v>
      </c>
      <c r="N389">
        <f t="shared" si="73"/>
        <v>7.7725485422178138E-3</v>
      </c>
    </row>
    <row r="390" spans="1:14" x14ac:dyDescent="0.25">
      <c r="A390">
        <f t="shared" ref="A390:A404" si="85">A389+1</f>
        <v>386</v>
      </c>
      <c r="B390">
        <f t="shared" ref="B390:B404" si="86">B389+(1/4000)</f>
        <v>9.6500000000000072E-2</v>
      </c>
      <c r="C390">
        <f t="shared" si="78"/>
        <v>0.60632738214283055</v>
      </c>
      <c r="D390">
        <f t="shared" si="79"/>
        <v>-0.89100652418835835</v>
      </c>
      <c r="E390">
        <f t="shared" si="80"/>
        <v>-0.54463903501500999</v>
      </c>
      <c r="F390">
        <f t="shared" si="81"/>
        <v>0.48527693352602563</v>
      </c>
      <c r="G390">
        <f t="shared" si="82"/>
        <v>0.79389262614621958</v>
      </c>
      <c r="H390">
        <f t="shared" si="83"/>
        <v>0.29663167846208127</v>
      </c>
      <c r="I390">
        <f t="shared" si="75"/>
        <v>78.549832970571089</v>
      </c>
      <c r="J390">
        <f t="shared" si="76"/>
        <v>0.70972381669264561</v>
      </c>
      <c r="K390">
        <f t="shared" si="74"/>
        <v>0.4370296862857655</v>
      </c>
      <c r="L390">
        <f t="shared" si="77"/>
        <v>55.748687256443525</v>
      </c>
      <c r="M390">
        <f t="shared" si="84"/>
        <v>55.746974230625767</v>
      </c>
      <c r="N390">
        <f t="shared" ref="N390:N404" si="87">K390/L390</f>
        <v>7.8392821031898451E-3</v>
      </c>
    </row>
    <row r="391" spans="1:14" x14ac:dyDescent="0.25">
      <c r="A391">
        <f t="shared" si="85"/>
        <v>387</v>
      </c>
      <c r="B391">
        <f t="shared" si="86"/>
        <v>9.6750000000000072E-2</v>
      </c>
      <c r="C391">
        <f t="shared" si="78"/>
        <v>0.60789817846962546</v>
      </c>
      <c r="D391">
        <f t="shared" si="79"/>
        <v>-0.85264016435407919</v>
      </c>
      <c r="E391">
        <f t="shared" si="80"/>
        <v>-0.47715876025958698</v>
      </c>
      <c r="F391">
        <f t="shared" si="81"/>
        <v>0.40684472377072289</v>
      </c>
      <c r="G391">
        <f t="shared" si="82"/>
        <v>0.72699524986975117</v>
      </c>
      <c r="H391">
        <f t="shared" si="83"/>
        <v>0.227680482492466</v>
      </c>
      <c r="I391">
        <f t="shared" si="75"/>
        <v>78.485400117109691</v>
      </c>
      <c r="J391">
        <f t="shared" si="76"/>
        <v>0.70911635577749554</v>
      </c>
      <c r="K391">
        <f t="shared" si="74"/>
        <v>0.43993659566081117</v>
      </c>
      <c r="L391">
        <f t="shared" si="77"/>
        <v>55.655280912783446</v>
      </c>
      <c r="M391">
        <f t="shared" si="84"/>
        <v>55.653542108949686</v>
      </c>
      <c r="N391">
        <f t="shared" si="87"/>
        <v>7.9046693942705845E-3</v>
      </c>
    </row>
    <row r="392" spans="1:14" x14ac:dyDescent="0.25">
      <c r="A392">
        <f t="shared" si="85"/>
        <v>388</v>
      </c>
      <c r="B392">
        <f t="shared" si="86"/>
        <v>9.7000000000000072E-2</v>
      </c>
      <c r="C392">
        <f t="shared" si="78"/>
        <v>0.60946897479642037</v>
      </c>
      <c r="D392">
        <f t="shared" si="79"/>
        <v>-0.80901699437493246</v>
      </c>
      <c r="E392">
        <f t="shared" si="80"/>
        <v>-0.4067366430757775</v>
      </c>
      <c r="F392">
        <f t="shared" si="81"/>
        <v>0.32905685648331523</v>
      </c>
      <c r="G392">
        <f t="shared" si="82"/>
        <v>0.65450849718744952</v>
      </c>
      <c r="H392">
        <f t="shared" si="83"/>
        <v>0.16543469682055242</v>
      </c>
      <c r="I392">
        <f t="shared" si="75"/>
        <v>78.415524038289774</v>
      </c>
      <c r="J392">
        <f t="shared" si="76"/>
        <v>0.70856752233662013</v>
      </c>
      <c r="K392">
        <f t="shared" si="74"/>
        <v>0.4426730157921881</v>
      </c>
      <c r="L392">
        <f t="shared" si="77"/>
        <v>55.562693580538664</v>
      </c>
      <c r="M392">
        <f t="shared" si="84"/>
        <v>55.560930144535213</v>
      </c>
      <c r="N392">
        <f t="shared" si="87"/>
        <v>7.9670906370032119E-3</v>
      </c>
    </row>
    <row r="393" spans="1:14" x14ac:dyDescent="0.25">
      <c r="A393">
        <f t="shared" si="85"/>
        <v>389</v>
      </c>
      <c r="B393">
        <f t="shared" si="86"/>
        <v>9.7250000000000072E-2</v>
      </c>
      <c r="C393">
        <f t="shared" si="78"/>
        <v>0.61103977112321517</v>
      </c>
      <c r="D393">
        <f t="shared" si="79"/>
        <v>-0.76040596560001872</v>
      </c>
      <c r="E393">
        <f t="shared" si="80"/>
        <v>-0.33380685923375381</v>
      </c>
      <c r="F393">
        <f t="shared" si="81"/>
        <v>0.25382872711955207</v>
      </c>
      <c r="G393">
        <f t="shared" si="82"/>
        <v>0.57821723252009682</v>
      </c>
      <c r="H393">
        <f t="shared" si="83"/>
        <v>0.11142701927150313</v>
      </c>
      <c r="I393">
        <f t="shared" si="75"/>
        <v>78.341913152658336</v>
      </c>
      <c r="J393">
        <f t="shared" si="76"/>
        <v>0.7080909812593954</v>
      </c>
      <c r="K393">
        <f t="shared" si="74"/>
        <v>0.44517156693460425</v>
      </c>
      <c r="L393">
        <f t="shared" si="77"/>
        <v>55.473202158004177</v>
      </c>
      <c r="M393">
        <f t="shared" si="84"/>
        <v>55.471415881864708</v>
      </c>
      <c r="N393">
        <f t="shared" si="87"/>
        <v>8.0249841295734689E-3</v>
      </c>
    </row>
    <row r="394" spans="1:14" x14ac:dyDescent="0.25">
      <c r="A394">
        <f t="shared" si="85"/>
        <v>390</v>
      </c>
      <c r="B394">
        <f t="shared" si="86"/>
        <v>9.7500000000000073E-2</v>
      </c>
      <c r="C394">
        <f t="shared" si="78"/>
        <v>0.61261056745001008</v>
      </c>
      <c r="D394">
        <f t="shared" si="79"/>
        <v>-0.70710678118653392</v>
      </c>
      <c r="E394">
        <f t="shared" si="80"/>
        <v>-0.25881904510250275</v>
      </c>
      <c r="F394">
        <f t="shared" si="81"/>
        <v>0.18301270189220306</v>
      </c>
      <c r="G394">
        <f t="shared" si="82"/>
        <v>0.49999999999998074</v>
      </c>
      <c r="H394">
        <f t="shared" si="83"/>
        <v>6.6987298107771348E-2</v>
      </c>
      <c r="I394">
        <f t="shared" si="75"/>
        <v>78.266372089167348</v>
      </c>
      <c r="J394">
        <f t="shared" si="76"/>
        <v>0.70769862316267562</v>
      </c>
      <c r="K394">
        <f t="shared" si="74"/>
        <v>0.44737072646671733</v>
      </c>
      <c r="L394">
        <f t="shared" si="77"/>
        <v>55.389003767441395</v>
      </c>
      <c r="M394">
        <f t="shared" si="84"/>
        <v>55.387197056564773</v>
      </c>
      <c r="N394">
        <f t="shared" si="87"/>
        <v>8.0768870360092941E-3</v>
      </c>
    </row>
    <row r="395" spans="1:14" x14ac:dyDescent="0.25">
      <c r="A395">
        <f t="shared" si="85"/>
        <v>391</v>
      </c>
      <c r="B395">
        <f t="shared" si="86"/>
        <v>9.7750000000000073E-2</v>
      </c>
      <c r="C395">
        <f t="shared" si="78"/>
        <v>0.61418136377680499</v>
      </c>
      <c r="D395">
        <f t="shared" si="79"/>
        <v>-0.64944804833016867</v>
      </c>
      <c r="E395">
        <f t="shared" si="80"/>
        <v>-0.18223552549212871</v>
      </c>
      <c r="F395">
        <f t="shared" si="81"/>
        <v>0.11835250636728568</v>
      </c>
      <c r="G395">
        <f t="shared" si="82"/>
        <v>0.42178276747986509</v>
      </c>
      <c r="H395">
        <f t="shared" si="83"/>
        <v>3.3209786751392294E-2</v>
      </c>
      <c r="I395">
        <f t="shared" si="75"/>
        <v>78.190758044549781</v>
      </c>
      <c r="J395">
        <f t="shared" si="76"/>
        <v>0.70740025610286006</v>
      </c>
      <c r="K395">
        <f t="shared" si="74"/>
        <v>0.44921634378225461</v>
      </c>
      <c r="L395">
        <f t="shared" si="77"/>
        <v>55.312162265591283</v>
      </c>
      <c r="M395">
        <f t="shared" si="84"/>
        <v>55.310338085854973</v>
      </c>
      <c r="N395">
        <f t="shared" si="87"/>
        <v>8.1214750134927221E-3</v>
      </c>
    </row>
    <row r="396" spans="1:14" x14ac:dyDescent="0.25">
      <c r="A396">
        <f t="shared" si="85"/>
        <v>392</v>
      </c>
      <c r="B396">
        <f t="shared" si="86"/>
        <v>9.8000000000000073E-2</v>
      </c>
      <c r="C396">
        <f t="shared" si="78"/>
        <v>0.6157521601035999</v>
      </c>
      <c r="D396">
        <f t="shared" si="79"/>
        <v>-0.58778525229245682</v>
      </c>
      <c r="E396">
        <f t="shared" si="80"/>
        <v>-0.10452846326763407</v>
      </c>
      <c r="F396">
        <f t="shared" si="81"/>
        <v>6.1440289153509096E-2</v>
      </c>
      <c r="G396">
        <f t="shared" si="82"/>
        <v>0.34549150281250712</v>
      </c>
      <c r="H396">
        <f t="shared" si="83"/>
        <v>1.0926199633093126E-2</v>
      </c>
      <c r="I396">
        <f t="shared" si="75"/>
        <v>78.116935358476454</v>
      </c>
      <c r="J396">
        <f t="shared" si="76"/>
        <v>0.70720334946563512</v>
      </c>
      <c r="K396">
        <f t="shared" si="74"/>
        <v>0.45066297365765501</v>
      </c>
      <c r="L396">
        <f t="shared" si="77"/>
        <v>55.244558335505054</v>
      </c>
      <c r="M396">
        <f t="shared" si="84"/>
        <v>55.242720140930743</v>
      </c>
      <c r="N396">
        <f t="shared" si="87"/>
        <v>8.1575993588497743E-3</v>
      </c>
    </row>
    <row r="397" spans="1:14" x14ac:dyDescent="0.25">
      <c r="A397">
        <f t="shared" si="85"/>
        <v>393</v>
      </c>
      <c r="B397">
        <f t="shared" si="86"/>
        <v>9.8250000000000073E-2</v>
      </c>
      <c r="C397">
        <f t="shared" si="78"/>
        <v>0.61732295643039481</v>
      </c>
      <c r="D397">
        <f t="shared" si="79"/>
        <v>-0.52249856471593137</v>
      </c>
      <c r="E397">
        <f t="shared" si="80"/>
        <v>-2.6176948307853214E-2</v>
      </c>
      <c r="F397">
        <f t="shared" si="81"/>
        <v>1.3677417919496433E-2</v>
      </c>
      <c r="G397">
        <f t="shared" si="82"/>
        <v>0.27300475013020831</v>
      </c>
      <c r="H397">
        <f t="shared" si="83"/>
        <v>6.8523262271201924E-4</v>
      </c>
      <c r="I397">
        <f t="shared" si="75"/>
        <v>78.046729389880213</v>
      </c>
      <c r="J397">
        <f t="shared" si="76"/>
        <v>0.70711283781853629</v>
      </c>
      <c r="K397">
        <f t="shared" si="74"/>
        <v>0.45167499526429672</v>
      </c>
      <c r="L397">
        <f t="shared" si="77"/>
        <v>55.187844301333556</v>
      </c>
      <c r="M397">
        <f t="shared" si="84"/>
        <v>55.185995943961068</v>
      </c>
      <c r="N397">
        <f t="shared" si="87"/>
        <v>8.1843203151419786E-3</v>
      </c>
    </row>
    <row r="398" spans="1:14" x14ac:dyDescent="0.25">
      <c r="A398">
        <f t="shared" si="85"/>
        <v>394</v>
      </c>
      <c r="B398">
        <f t="shared" si="86"/>
        <v>9.8500000000000074E-2</v>
      </c>
      <c r="C398">
        <f t="shared" si="78"/>
        <v>0.61889375275718972</v>
      </c>
      <c r="D398">
        <f t="shared" si="79"/>
        <v>-0.4539904997395281</v>
      </c>
      <c r="E398">
        <f t="shared" si="80"/>
        <v>5.2335956242964193E-2</v>
      </c>
      <c r="F398">
        <f t="shared" si="81"/>
        <v>-2.3760026929089389E-2</v>
      </c>
      <c r="G398">
        <f t="shared" si="82"/>
        <v>0.20610737385374647</v>
      </c>
      <c r="H398">
        <f t="shared" si="83"/>
        <v>2.7390523158654628E-3</v>
      </c>
      <c r="I398">
        <f t="shared" si="75"/>
        <v>77.981880846100239</v>
      </c>
      <c r="J398">
        <f t="shared" si="76"/>
        <v>0.70713099080294028</v>
      </c>
      <c r="K398">
        <f t="shared" si="74"/>
        <v>0.45222748927151724</v>
      </c>
      <c r="L398">
        <f t="shared" si="77"/>
        <v>55.143404667379691</v>
      </c>
      <c r="M398">
        <f t="shared" si="84"/>
        <v>55.141550292028782</v>
      </c>
      <c r="N398">
        <f t="shared" si="87"/>
        <v>8.2009352160845855E-3</v>
      </c>
    </row>
    <row r="399" spans="1:14" x14ac:dyDescent="0.25">
      <c r="A399">
        <f t="shared" si="85"/>
        <v>395</v>
      </c>
      <c r="B399">
        <f t="shared" si="86"/>
        <v>9.8750000000000074E-2</v>
      </c>
      <c r="C399">
        <f t="shared" si="78"/>
        <v>0.62046454908398463</v>
      </c>
      <c r="D399">
        <f t="shared" si="79"/>
        <v>-0.38268343236506996</v>
      </c>
      <c r="E399">
        <f t="shared" si="80"/>
        <v>0.13052619222007225</v>
      </c>
      <c r="F399">
        <f t="shared" si="81"/>
        <v>-4.9950211252320138E-2</v>
      </c>
      <c r="G399">
        <f t="shared" si="82"/>
        <v>0.14644660940671109</v>
      </c>
      <c r="H399">
        <f t="shared" si="83"/>
        <v>1.7037086855471249E-2</v>
      </c>
      <c r="I399">
        <f t="shared" si="75"/>
        <v>77.924001756023543</v>
      </c>
      <c r="J399">
        <f t="shared" si="76"/>
        <v>0.70725735315067106</v>
      </c>
      <c r="K399">
        <f t="shared" si="74"/>
        <v>0.45230685144323612</v>
      </c>
      <c r="L399">
        <f t="shared" si="77"/>
        <v>55.112323228873457</v>
      </c>
      <c r="M399">
        <f t="shared" si="84"/>
        <v>55.110467156393824</v>
      </c>
      <c r="N399">
        <f t="shared" si="87"/>
        <v>8.2070002667982544E-3</v>
      </c>
    </row>
    <row r="400" spans="1:14" x14ac:dyDescent="0.25">
      <c r="A400">
        <f t="shared" si="85"/>
        <v>396</v>
      </c>
      <c r="B400">
        <f t="shared" si="86"/>
        <v>9.9000000000000074E-2</v>
      </c>
      <c r="C400">
        <f t="shared" si="78"/>
        <v>0.62203534541077954</v>
      </c>
      <c r="D400">
        <f t="shared" si="79"/>
        <v>-0.30901699437492325</v>
      </c>
      <c r="E400">
        <f t="shared" si="80"/>
        <v>0.2079116908177836</v>
      </c>
      <c r="F400">
        <f t="shared" si="81"/>
        <v>-6.4248245791919817E-2</v>
      </c>
      <c r="G400">
        <f t="shared" si="82"/>
        <v>9.5491502812511342E-2</v>
      </c>
      <c r="H400">
        <f t="shared" si="83"/>
        <v>4.3227271178709642E-2</v>
      </c>
      <c r="I400">
        <f t="shared" si="75"/>
        <v>77.874534283040092</v>
      </c>
      <c r="J400">
        <f t="shared" si="76"/>
        <v>0.707488756723196</v>
      </c>
      <c r="K400">
        <f t="shared" si="74"/>
        <v>0.45191112761939789</v>
      </c>
      <c r="L400">
        <f t="shared" si="77"/>
        <v>55.095357440305939</v>
      </c>
      <c r="M400">
        <f t="shared" si="84"/>
        <v>55.09350404365118</v>
      </c>
      <c r="N400">
        <f t="shared" si="87"/>
        <v>8.2023449636211034E-3</v>
      </c>
    </row>
    <row r="401" spans="1:14" x14ac:dyDescent="0.25">
      <c r="A401">
        <f t="shared" si="85"/>
        <v>397</v>
      </c>
      <c r="B401">
        <f t="shared" si="86"/>
        <v>9.9250000000000074E-2</v>
      </c>
      <c r="C401">
        <f t="shared" si="78"/>
        <v>0.62360614173757445</v>
      </c>
      <c r="D401">
        <f t="shared" si="79"/>
        <v>-0.23344536385588024</v>
      </c>
      <c r="E401">
        <f t="shared" si="80"/>
        <v>0.28401534470394685</v>
      </c>
      <c r="F401">
        <f t="shared" si="81"/>
        <v>-6.630206548506612E-2</v>
      </c>
      <c r="G401">
        <f t="shared" si="82"/>
        <v>5.4496737905804317E-2</v>
      </c>
      <c r="H401">
        <f t="shared" si="83"/>
        <v>8.0664716027301755E-2</v>
      </c>
      <c r="I401">
        <f t="shared" si="75"/>
        <v>77.834713538422221</v>
      </c>
      <c r="J401">
        <f t="shared" si="76"/>
        <v>0.70781940419173373</v>
      </c>
      <c r="K401">
        <f t="shared" ref="K401:K404" si="88">AVERAGE(F325:F401)</f>
        <v>0.45105006183387741</v>
      </c>
      <c r="L401">
        <f t="shared" si="77"/>
        <v>55.092920562200284</v>
      </c>
      <c r="M401">
        <f t="shared" si="84"/>
        <v>55.091074140142069</v>
      </c>
      <c r="N401">
        <f t="shared" si="87"/>
        <v>8.1870784345992112E-3</v>
      </c>
    </row>
    <row r="402" spans="1:14" x14ac:dyDescent="0.25">
      <c r="A402">
        <f t="shared" si="85"/>
        <v>398</v>
      </c>
      <c r="B402">
        <f t="shared" si="86"/>
        <v>9.9500000000000074E-2</v>
      </c>
      <c r="C402">
        <f t="shared" si="78"/>
        <v>0.62517693806436925</v>
      </c>
      <c r="D402">
        <f t="shared" si="79"/>
        <v>-0.15643446504021188</v>
      </c>
      <c r="E402">
        <f t="shared" si="80"/>
        <v>0.35836794954531764</v>
      </c>
      <c r="F402">
        <f t="shared" si="81"/>
        <v>-5.6061098474679411E-2</v>
      </c>
      <c r="G402">
        <f t="shared" si="82"/>
        <v>2.4471741852417274E-2</v>
      </c>
      <c r="H402">
        <f t="shared" si="83"/>
        <v>0.12842758726131534</v>
      </c>
      <c r="I402">
        <f t="shared" si="75"/>
        <v>77.805535477594219</v>
      </c>
      <c r="J402">
        <f t="shared" si="76"/>
        <v>0.70824102171560643</v>
      </c>
      <c r="K402">
        <f t="shared" si="88"/>
        <v>0.44974485638402772</v>
      </c>
      <c r="L402">
        <f t="shared" si="77"/>
        <v>55.105071941781198</v>
      </c>
      <c r="M402">
        <f t="shared" si="84"/>
        <v>55.103236595258522</v>
      </c>
      <c r="N402">
        <f t="shared" si="87"/>
        <v>8.1615873192069435E-3</v>
      </c>
    </row>
    <row r="403" spans="1:14" x14ac:dyDescent="0.25">
      <c r="A403">
        <f t="shared" si="85"/>
        <v>399</v>
      </c>
      <c r="B403">
        <f t="shared" si="86"/>
        <v>9.9750000000000075E-2</v>
      </c>
      <c r="C403">
        <f t="shared" si="78"/>
        <v>0.62674773439116416</v>
      </c>
      <c r="D403">
        <f t="shared" si="79"/>
        <v>-7.8459095727825362E-2</v>
      </c>
      <c r="E403">
        <f t="shared" si="80"/>
        <v>0.43051109680831234</v>
      </c>
      <c r="F403">
        <f t="shared" si="81"/>
        <v>-3.3777511356374468E-2</v>
      </c>
      <c r="G403">
        <f t="shared" si="82"/>
        <v>6.1558297024280643E-3</v>
      </c>
      <c r="H403">
        <f t="shared" si="83"/>
        <v>0.18533980447509607</v>
      </c>
      <c r="I403">
        <f t="shared" si="75"/>
        <v>77.787730840039842</v>
      </c>
      <c r="J403">
        <f t="shared" si="76"/>
        <v>0.70874307584338259</v>
      </c>
      <c r="K403">
        <f t="shared" si="88"/>
        <v>0.44802764975975273</v>
      </c>
      <c r="L403">
        <f t="shared" si="77"/>
        <v>55.13151561844699</v>
      </c>
      <c r="M403">
        <f t="shared" si="84"/>
        <v>55.12969513440207</v>
      </c>
      <c r="N403">
        <f t="shared" si="87"/>
        <v>8.1265251777305168E-3</v>
      </c>
    </row>
    <row r="404" spans="1:14" x14ac:dyDescent="0.25">
      <c r="A404">
        <f t="shared" si="85"/>
        <v>400</v>
      </c>
      <c r="B404">
        <f t="shared" si="86"/>
        <v>0.10000000000000007</v>
      </c>
      <c r="C404">
        <f t="shared" si="78"/>
        <v>0.62831853071795907</v>
      </c>
      <c r="D404">
        <f t="shared" si="79"/>
        <v>2.0091133617894386E-14</v>
      </c>
      <c r="E404">
        <f t="shared" si="80"/>
        <v>0.50000000000001688</v>
      </c>
      <c r="F404">
        <f t="shared" si="81"/>
        <v>1.0045566808947532E-14</v>
      </c>
      <c r="G404">
        <f t="shared" si="82"/>
        <v>4.0365365005208594E-28</v>
      </c>
      <c r="H404">
        <f t="shared" si="83"/>
        <v>0.25000000000001688</v>
      </c>
      <c r="I404">
        <f t="shared" si="75"/>
        <v>77.781745930520188</v>
      </c>
      <c r="J404">
        <f t="shared" si="76"/>
        <v>0.70931304795555539</v>
      </c>
      <c r="K404">
        <f t="shared" si="88"/>
        <v>0.445940725287224</v>
      </c>
      <c r="L404">
        <f t="shared" si="77"/>
        <v>55.171607281281894</v>
      </c>
      <c r="M404">
        <f t="shared" si="84"/>
        <v>55.16980502838058</v>
      </c>
      <c r="N404">
        <f t="shared" si="87"/>
        <v>8.082793800327049E-3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4700-BD2C-4D50-8569-E561638DB638}">
  <dimension ref="A1:P406"/>
  <sheetViews>
    <sheetView tabSelected="1" workbookViewId="0">
      <selection activeCell="O11" sqref="O11"/>
    </sheetView>
  </sheetViews>
  <sheetFormatPr defaultRowHeight="15" x14ac:dyDescent="0.25"/>
  <cols>
    <col min="3" max="3" width="12.7109375" bestFit="1" customWidth="1"/>
    <col min="4" max="4" width="19.5703125" bestFit="1" customWidth="1"/>
    <col min="5" max="7" width="12.7109375" bestFit="1" customWidth="1"/>
    <col min="8" max="8" width="24" bestFit="1" customWidth="1"/>
    <col min="11" max="12" width="10.5703125" bestFit="1" customWidth="1"/>
  </cols>
  <sheetData>
    <row r="1" spans="1:16" x14ac:dyDescent="0.25">
      <c r="B1" t="s">
        <v>3</v>
      </c>
      <c r="C1">
        <v>1</v>
      </c>
      <c r="E1" t="s">
        <v>23</v>
      </c>
      <c r="F1">
        <f>POWER(2,15)</f>
        <v>32768</v>
      </c>
    </row>
    <row r="2" spans="1:16" x14ac:dyDescent="0.25">
      <c r="B2" t="s">
        <v>4</v>
      </c>
      <c r="C2">
        <v>1</v>
      </c>
      <c r="F2">
        <f>F1-1</f>
        <v>32767</v>
      </c>
    </row>
    <row r="3" spans="1:16" x14ac:dyDescent="0.25">
      <c r="B3" t="s">
        <v>18</v>
      </c>
      <c r="C3">
        <v>30</v>
      </c>
      <c r="E3" t="s">
        <v>29</v>
      </c>
      <c r="F3">
        <v>80</v>
      </c>
    </row>
    <row r="4" spans="1:16" x14ac:dyDescent="0.25">
      <c r="B4" t="s">
        <v>16</v>
      </c>
      <c r="C4">
        <v>50</v>
      </c>
    </row>
    <row r="5" spans="1:16" x14ac:dyDescent="0.25">
      <c r="A5" t="s">
        <v>9</v>
      </c>
      <c r="B5" t="s">
        <v>0</v>
      </c>
      <c r="C5" t="s">
        <v>17</v>
      </c>
      <c r="D5" t="s">
        <v>19</v>
      </c>
      <c r="E5" t="s">
        <v>2</v>
      </c>
      <c r="F5" t="s">
        <v>5</v>
      </c>
      <c r="G5" t="s">
        <v>6</v>
      </c>
      <c r="H5" t="s">
        <v>30</v>
      </c>
      <c r="I5" t="s">
        <v>20</v>
      </c>
      <c r="J5" t="s">
        <v>21</v>
      </c>
      <c r="K5" t="s">
        <v>24</v>
      </c>
      <c r="L5" t="s">
        <v>25</v>
      </c>
      <c r="M5" t="s">
        <v>22</v>
      </c>
      <c r="N5" t="s">
        <v>26</v>
      </c>
      <c r="O5" t="s">
        <v>27</v>
      </c>
      <c r="P5" t="s">
        <v>28</v>
      </c>
    </row>
    <row r="6" spans="1:16" x14ac:dyDescent="0.25">
      <c r="A6">
        <v>0</v>
      </c>
      <c r="B6">
        <v>0</v>
      </c>
      <c r="C6">
        <f>SIN(2*PI()*$C$4*B6)</f>
        <v>0</v>
      </c>
      <c r="D6">
        <f>SIN(2*PI()*$C$4*B6+$C$3*PI()/180)</f>
        <v>0.49999999999999994</v>
      </c>
      <c r="E6">
        <f>C6*$C$1</f>
        <v>0</v>
      </c>
      <c r="F6">
        <f>D6*$C$2</f>
        <v>0.49999999999999994</v>
      </c>
      <c r="G6">
        <f>E6*F6</f>
        <v>0</v>
      </c>
      <c r="H6">
        <f>IF(C6&gt;0,ROUND(C6*$F$2,0),ROUND(C6*$F$1,0))</f>
        <v>0</v>
      </c>
      <c r="I6">
        <f>IF(E6&gt;0,_xlfn.FLOOR.MATH(E6*$F$2),_xlfn.FLOOR.MATH(E6*$F$1))</f>
        <v>0</v>
      </c>
      <c r="J6">
        <f>IF(F6&gt;0,_xlfn.FLOOR.MATH(F6*$F$2),_xlfn.FLOOR.MATH(F6*$F$1))</f>
        <v>16383</v>
      </c>
      <c r="K6">
        <f>_xlfn.FLOOR.MATH(I6*I6)</f>
        <v>0</v>
      </c>
      <c r="L6">
        <f>_xlfn.FLOOR.MATH(J6*J6)</f>
        <v>268402689</v>
      </c>
      <c r="M6">
        <f>_xlfn.FLOOR.MATH((I6*J6)/$F$1)</f>
        <v>0</v>
      </c>
      <c r="N6">
        <f>_xlfn.FLOOR.MATH(SQRT(SUM(K6:K86)/81))</f>
        <v>23026</v>
      </c>
      <c r="O6">
        <f>_xlfn.FLOOR.MATH(SQRT(SUM(L6:L85)/$F$3))</f>
        <v>23170</v>
      </c>
      <c r="P6">
        <f>_xlfn.FLOOR.MATH(SUM(M6:M85)/$F$3)</f>
        <v>14188</v>
      </c>
    </row>
    <row r="7" spans="1:16" x14ac:dyDescent="0.25">
      <c r="A7">
        <f>A6+1</f>
        <v>1</v>
      </c>
      <c r="B7">
        <f>B6+(1/4000)</f>
        <v>2.5000000000000001E-4</v>
      </c>
      <c r="C7">
        <f t="shared" ref="C7:C70" si="0">SIN(2*PI()*$C$4*B7)</f>
        <v>7.8459095727844944E-2</v>
      </c>
      <c r="D7">
        <f t="shared" ref="D7:D70" si="1">SIN(2*PI()*$C$4*B7+$C$3*PI()/180)</f>
        <v>0.56640623692483283</v>
      </c>
      <c r="E7">
        <f t="shared" ref="E7:E70" si="2">C7*$C$1</f>
        <v>7.8459095727844944E-2</v>
      </c>
      <c r="F7">
        <f t="shared" ref="F7:F70" si="3">D7*$C$2</f>
        <v>0.56640623692483283</v>
      </c>
      <c r="G7">
        <f t="shared" ref="G7:G70" si="4">E7*F7</f>
        <v>4.4439721163733882E-2</v>
      </c>
      <c r="H7">
        <f t="shared" ref="H7:H70" si="5">IF(C7&gt;0,ROUND(C7*$F$2,0),ROUND(C7*$F$1,0))</f>
        <v>2571</v>
      </c>
      <c r="I7">
        <f t="shared" ref="I7:I70" si="6">IF(E7&gt;0,_xlfn.FLOOR.MATH(E7*$F$2),_xlfn.FLOOR.MATH(E7*$F$1))</f>
        <v>2570</v>
      </c>
      <c r="J7">
        <f t="shared" ref="J7:J70" si="7">IF(F7&gt;0,_xlfn.FLOOR.MATH(F7*$F$2),_xlfn.FLOOR.MATH(F7*$F$1))</f>
        <v>18559</v>
      </c>
      <c r="K7">
        <f t="shared" ref="K7:K70" si="8">_xlfn.FLOOR.MATH(I7*I7)</f>
        <v>6604900</v>
      </c>
      <c r="L7">
        <f t="shared" ref="L7:L70" si="9">_xlfn.FLOOR.MATH(J7*J7)</f>
        <v>344436481</v>
      </c>
      <c r="M7">
        <f t="shared" ref="M7:M70" si="10">_xlfn.FLOOR.MATH((I7*J7)/$F$1)</f>
        <v>1455</v>
      </c>
      <c r="N7">
        <f>_xlfn.FLOOR.MATH(SQRT(SUM(K7:K166)/160))</f>
        <v>23170</v>
      </c>
      <c r="O7">
        <f t="shared" ref="O7:O70" si="11">_xlfn.FLOOR.MATH(SQRT(SUM(L7:L86)/$F$3))</f>
        <v>23170</v>
      </c>
      <c r="P7">
        <f t="shared" ref="P7:P70" si="12">_xlfn.FLOOR.MATH(SUM(M7:M86)/$F$3)</f>
        <v>14188</v>
      </c>
    </row>
    <row r="8" spans="1:16" x14ac:dyDescent="0.25">
      <c r="A8">
        <f t="shared" ref="A8:A71" si="13">A7+1</f>
        <v>2</v>
      </c>
      <c r="B8">
        <f t="shared" ref="B8:B71" si="14">B7+(1/4000)</f>
        <v>5.0000000000000001E-4</v>
      </c>
      <c r="C8">
        <f t="shared" si="0"/>
        <v>0.15643446504023087</v>
      </c>
      <c r="D8">
        <f t="shared" si="1"/>
        <v>0.62932039104983739</v>
      </c>
      <c r="E8">
        <f t="shared" si="2"/>
        <v>0.15643446504023087</v>
      </c>
      <c r="F8">
        <f t="shared" si="3"/>
        <v>0.62932039104983739</v>
      </c>
      <c r="G8">
        <f t="shared" si="4"/>
        <v>9.8447398712790207E-2</v>
      </c>
      <c r="H8">
        <f t="shared" si="5"/>
        <v>5126</v>
      </c>
      <c r="I8">
        <f t="shared" si="6"/>
        <v>5125</v>
      </c>
      <c r="J8">
        <f t="shared" si="7"/>
        <v>20620</v>
      </c>
      <c r="K8">
        <f t="shared" si="8"/>
        <v>26265625</v>
      </c>
      <c r="L8">
        <f t="shared" si="9"/>
        <v>425184400</v>
      </c>
      <c r="M8">
        <f t="shared" si="10"/>
        <v>3225</v>
      </c>
      <c r="N8">
        <f t="shared" ref="N8:N70" si="15">_xlfn.FLOOR.MATH(SQRT(SUM(K8:K167)/160))</f>
        <v>23170</v>
      </c>
      <c r="O8">
        <f t="shared" si="11"/>
        <v>23170</v>
      </c>
      <c r="P8">
        <f t="shared" si="12"/>
        <v>14188</v>
      </c>
    </row>
    <row r="9" spans="1:16" x14ac:dyDescent="0.25">
      <c r="A9">
        <f t="shared" si="13"/>
        <v>3</v>
      </c>
      <c r="B9">
        <f t="shared" si="14"/>
        <v>7.5000000000000002E-4</v>
      </c>
      <c r="C9">
        <f t="shared" si="0"/>
        <v>0.23344536385590542</v>
      </c>
      <c r="D9">
        <f t="shared" si="1"/>
        <v>0.68835457569375391</v>
      </c>
      <c r="E9">
        <f t="shared" si="2"/>
        <v>0.23344536385590542</v>
      </c>
      <c r="F9">
        <f t="shared" si="3"/>
        <v>0.68835457569375391</v>
      </c>
      <c r="G9">
        <f t="shared" si="4"/>
        <v>0.16069318438470578</v>
      </c>
      <c r="H9">
        <f t="shared" si="5"/>
        <v>7649</v>
      </c>
      <c r="I9">
        <f t="shared" si="6"/>
        <v>7649</v>
      </c>
      <c r="J9">
        <f t="shared" si="7"/>
        <v>22555</v>
      </c>
      <c r="K9">
        <f t="shared" si="8"/>
        <v>58507201</v>
      </c>
      <c r="L9">
        <f t="shared" si="9"/>
        <v>508728025</v>
      </c>
      <c r="M9">
        <f t="shared" si="10"/>
        <v>5264</v>
      </c>
      <c r="N9">
        <f t="shared" si="15"/>
        <v>23170</v>
      </c>
      <c r="O9">
        <f t="shared" si="11"/>
        <v>23170</v>
      </c>
      <c r="P9">
        <f t="shared" si="12"/>
        <v>14188</v>
      </c>
    </row>
    <row r="10" spans="1:16" x14ac:dyDescent="0.25">
      <c r="A10">
        <f t="shared" si="13"/>
        <v>4</v>
      </c>
      <c r="B10">
        <f t="shared" si="14"/>
        <v>1E-3</v>
      </c>
      <c r="C10">
        <f t="shared" si="0"/>
        <v>0.3090169943749474</v>
      </c>
      <c r="D10">
        <f t="shared" si="1"/>
        <v>0.74314482547739413</v>
      </c>
      <c r="E10">
        <f t="shared" si="2"/>
        <v>0.3090169943749474</v>
      </c>
      <c r="F10">
        <f t="shared" si="3"/>
        <v>0.74314482547739413</v>
      </c>
      <c r="G10">
        <f t="shared" si="4"/>
        <v>0.22964438035431917</v>
      </c>
      <c r="H10">
        <f t="shared" si="5"/>
        <v>10126</v>
      </c>
      <c r="I10">
        <f t="shared" si="6"/>
        <v>10125</v>
      </c>
      <c r="J10">
        <f t="shared" si="7"/>
        <v>24350</v>
      </c>
      <c r="K10">
        <f t="shared" si="8"/>
        <v>102515625</v>
      </c>
      <c r="L10">
        <f t="shared" si="9"/>
        <v>592922500</v>
      </c>
      <c r="M10">
        <f t="shared" si="10"/>
        <v>7523</v>
      </c>
      <c r="N10">
        <f t="shared" si="15"/>
        <v>23170</v>
      </c>
      <c r="O10">
        <f t="shared" si="11"/>
        <v>23170</v>
      </c>
      <c r="P10">
        <f t="shared" si="12"/>
        <v>14188</v>
      </c>
    </row>
    <row r="11" spans="1:16" x14ac:dyDescent="0.25">
      <c r="A11">
        <f t="shared" si="13"/>
        <v>5</v>
      </c>
      <c r="B11">
        <f t="shared" si="14"/>
        <v>1.25E-3</v>
      </c>
      <c r="C11">
        <f t="shared" si="0"/>
        <v>0.38268343236508978</v>
      </c>
      <c r="D11">
        <f t="shared" si="1"/>
        <v>0.79335334029123517</v>
      </c>
      <c r="E11">
        <f t="shared" si="2"/>
        <v>0.38268343236508978</v>
      </c>
      <c r="F11">
        <f t="shared" si="3"/>
        <v>0.79335334029123517</v>
      </c>
      <c r="G11">
        <f t="shared" si="4"/>
        <v>0.30360317934095893</v>
      </c>
      <c r="H11">
        <f t="shared" si="5"/>
        <v>12539</v>
      </c>
      <c r="I11">
        <f t="shared" si="6"/>
        <v>12539</v>
      </c>
      <c r="J11">
        <f t="shared" si="7"/>
        <v>25995</v>
      </c>
      <c r="K11">
        <f t="shared" si="8"/>
        <v>157226521</v>
      </c>
      <c r="L11">
        <f t="shared" si="9"/>
        <v>675740025</v>
      </c>
      <c r="M11">
        <f t="shared" si="10"/>
        <v>9947</v>
      </c>
      <c r="N11">
        <f t="shared" si="15"/>
        <v>23170</v>
      </c>
      <c r="O11">
        <f t="shared" si="11"/>
        <v>23170</v>
      </c>
      <c r="P11">
        <f t="shared" si="12"/>
        <v>14188</v>
      </c>
    </row>
    <row r="12" spans="1:16" x14ac:dyDescent="0.25">
      <c r="A12">
        <f t="shared" si="13"/>
        <v>6</v>
      </c>
      <c r="B12">
        <f t="shared" si="14"/>
        <v>1.5E-3</v>
      </c>
      <c r="C12">
        <f t="shared" si="0"/>
        <v>0.4539904997395468</v>
      </c>
      <c r="D12">
        <f t="shared" si="1"/>
        <v>0.83867056794542405</v>
      </c>
      <c r="E12">
        <f t="shared" si="2"/>
        <v>0.4539904997395468</v>
      </c>
      <c r="F12">
        <f t="shared" si="3"/>
        <v>0.83867056794542405</v>
      </c>
      <c r="G12">
        <f t="shared" si="4"/>
        <v>0.38074847025839259</v>
      </c>
      <c r="H12">
        <f t="shared" si="5"/>
        <v>14876</v>
      </c>
      <c r="I12">
        <f t="shared" si="6"/>
        <v>14875</v>
      </c>
      <c r="J12">
        <f t="shared" si="7"/>
        <v>27480</v>
      </c>
      <c r="K12">
        <f t="shared" si="8"/>
        <v>221265625</v>
      </c>
      <c r="L12">
        <f t="shared" si="9"/>
        <v>755150400</v>
      </c>
      <c r="M12">
        <f t="shared" si="10"/>
        <v>12474</v>
      </c>
      <c r="N12">
        <f t="shared" si="15"/>
        <v>23170</v>
      </c>
      <c r="O12">
        <f t="shared" si="11"/>
        <v>23170</v>
      </c>
      <c r="P12">
        <f t="shared" si="12"/>
        <v>14188</v>
      </c>
    </row>
    <row r="13" spans="1:16" x14ac:dyDescent="0.25">
      <c r="A13">
        <f t="shared" si="13"/>
        <v>7</v>
      </c>
      <c r="B13">
        <f t="shared" si="14"/>
        <v>1.75E-3</v>
      </c>
      <c r="C13">
        <f t="shared" si="0"/>
        <v>0.5224985647159488</v>
      </c>
      <c r="D13">
        <f t="shared" si="1"/>
        <v>0.87881711266196527</v>
      </c>
      <c r="E13">
        <f t="shared" si="2"/>
        <v>0.5224985647159488</v>
      </c>
      <c r="F13">
        <f t="shared" si="3"/>
        <v>0.87881711266196527</v>
      </c>
      <c r="G13">
        <f t="shared" si="4"/>
        <v>0.45918068001369111</v>
      </c>
      <c r="H13">
        <f t="shared" si="5"/>
        <v>17121</v>
      </c>
      <c r="I13">
        <f t="shared" si="6"/>
        <v>17120</v>
      </c>
      <c r="J13">
        <f t="shared" si="7"/>
        <v>28796</v>
      </c>
      <c r="K13">
        <f t="shared" si="8"/>
        <v>293094400</v>
      </c>
      <c r="L13">
        <f t="shared" si="9"/>
        <v>829209616</v>
      </c>
      <c r="M13">
        <f t="shared" si="10"/>
        <v>15044</v>
      </c>
      <c r="N13">
        <f t="shared" si="15"/>
        <v>23170</v>
      </c>
      <c r="O13">
        <f t="shared" si="11"/>
        <v>23170</v>
      </c>
      <c r="P13">
        <f t="shared" si="12"/>
        <v>14188</v>
      </c>
    </row>
    <row r="14" spans="1:16" x14ac:dyDescent="0.25">
      <c r="A14">
        <f t="shared" si="13"/>
        <v>8</v>
      </c>
      <c r="B14">
        <f t="shared" si="14"/>
        <v>2E-3</v>
      </c>
      <c r="C14">
        <f t="shared" si="0"/>
        <v>0.58778525229247314</v>
      </c>
      <c r="D14">
        <f t="shared" si="1"/>
        <v>0.91354545764260087</v>
      </c>
      <c r="E14">
        <f t="shared" si="2"/>
        <v>0.58778525229247314</v>
      </c>
      <c r="F14">
        <f t="shared" si="3"/>
        <v>0.91354545764260087</v>
      </c>
      <c r="G14">
        <f t="shared" si="4"/>
        <v>0.536968547301099</v>
      </c>
      <c r="H14">
        <f t="shared" si="5"/>
        <v>19260</v>
      </c>
      <c r="I14">
        <f t="shared" si="6"/>
        <v>19259</v>
      </c>
      <c r="J14">
        <f t="shared" si="7"/>
        <v>29934</v>
      </c>
      <c r="K14">
        <f t="shared" si="8"/>
        <v>370909081</v>
      </c>
      <c r="L14">
        <f t="shared" si="9"/>
        <v>896044356</v>
      </c>
      <c r="M14">
        <f t="shared" si="10"/>
        <v>17593</v>
      </c>
      <c r="N14">
        <f t="shared" si="15"/>
        <v>23170</v>
      </c>
      <c r="O14">
        <f t="shared" si="11"/>
        <v>23170</v>
      </c>
      <c r="P14">
        <f t="shared" si="12"/>
        <v>14188</v>
      </c>
    </row>
    <row r="15" spans="1:16" x14ac:dyDescent="0.25">
      <c r="A15">
        <f t="shared" si="13"/>
        <v>9</v>
      </c>
      <c r="B15">
        <f t="shared" si="14"/>
        <v>2.2500000000000003E-3</v>
      </c>
      <c r="C15">
        <f t="shared" si="0"/>
        <v>0.64944804833018377</v>
      </c>
      <c r="D15">
        <f t="shared" si="1"/>
        <v>0.94264149109217843</v>
      </c>
      <c r="E15">
        <f t="shared" si="2"/>
        <v>0.64944804833018377</v>
      </c>
      <c r="F15">
        <f t="shared" si="3"/>
        <v>0.94264149109217843</v>
      </c>
      <c r="G15">
        <f t="shared" si="4"/>
        <v>0.61219667666486954</v>
      </c>
      <c r="H15">
        <f t="shared" si="5"/>
        <v>21280</v>
      </c>
      <c r="I15">
        <f t="shared" si="6"/>
        <v>21280</v>
      </c>
      <c r="J15">
        <f t="shared" si="7"/>
        <v>30887</v>
      </c>
      <c r="K15">
        <f t="shared" si="8"/>
        <v>452838400</v>
      </c>
      <c r="L15">
        <f t="shared" si="9"/>
        <v>954006769</v>
      </c>
      <c r="M15">
        <f t="shared" si="10"/>
        <v>20058</v>
      </c>
      <c r="N15">
        <f t="shared" si="15"/>
        <v>23170</v>
      </c>
      <c r="O15">
        <f t="shared" si="11"/>
        <v>23170</v>
      </c>
      <c r="P15">
        <f t="shared" si="12"/>
        <v>14188</v>
      </c>
    </row>
    <row r="16" spans="1:16" x14ac:dyDescent="0.25">
      <c r="A16">
        <f t="shared" si="13"/>
        <v>10</v>
      </c>
      <c r="B16">
        <f t="shared" si="14"/>
        <v>2.5000000000000005E-3</v>
      </c>
      <c r="C16">
        <f t="shared" si="0"/>
        <v>0.70710678118654768</v>
      </c>
      <c r="D16">
        <f t="shared" si="1"/>
        <v>0.96592582628906831</v>
      </c>
      <c r="E16">
        <f t="shared" si="2"/>
        <v>0.70710678118654768</v>
      </c>
      <c r="F16">
        <f t="shared" si="3"/>
        <v>0.96592582628906831</v>
      </c>
      <c r="G16">
        <f t="shared" si="4"/>
        <v>0.68301270189221952</v>
      </c>
      <c r="H16">
        <f t="shared" si="5"/>
        <v>23170</v>
      </c>
      <c r="I16">
        <f t="shared" si="6"/>
        <v>23169</v>
      </c>
      <c r="J16">
        <f t="shared" si="7"/>
        <v>31650</v>
      </c>
      <c r="K16">
        <f t="shared" si="8"/>
        <v>536802561</v>
      </c>
      <c r="L16">
        <f t="shared" si="9"/>
        <v>1001722500</v>
      </c>
      <c r="M16">
        <f t="shared" si="10"/>
        <v>22378</v>
      </c>
      <c r="N16">
        <f t="shared" si="15"/>
        <v>23170</v>
      </c>
      <c r="O16">
        <f t="shared" si="11"/>
        <v>23170</v>
      </c>
      <c r="P16">
        <f t="shared" si="12"/>
        <v>14188</v>
      </c>
    </row>
    <row r="17" spans="1:16" x14ac:dyDescent="0.25">
      <c r="A17">
        <f t="shared" si="13"/>
        <v>11</v>
      </c>
      <c r="B17">
        <f t="shared" si="14"/>
        <v>2.7500000000000007E-3</v>
      </c>
      <c r="C17">
        <f t="shared" si="0"/>
        <v>0.76040596560003104</v>
      </c>
      <c r="D17">
        <f t="shared" si="1"/>
        <v>0.98325490756395462</v>
      </c>
      <c r="E17">
        <f t="shared" si="2"/>
        <v>0.76040596560003104</v>
      </c>
      <c r="F17">
        <f t="shared" si="3"/>
        <v>0.98325490756395462</v>
      </c>
      <c r="G17">
        <f t="shared" si="4"/>
        <v>0.74767289741713816</v>
      </c>
      <c r="H17">
        <f t="shared" si="5"/>
        <v>24916</v>
      </c>
      <c r="I17">
        <f t="shared" si="6"/>
        <v>24916</v>
      </c>
      <c r="J17">
        <f t="shared" si="7"/>
        <v>32218</v>
      </c>
      <c r="K17">
        <f t="shared" si="8"/>
        <v>620807056</v>
      </c>
      <c r="L17">
        <f t="shared" si="9"/>
        <v>1037999524</v>
      </c>
      <c r="M17">
        <f t="shared" si="10"/>
        <v>24497</v>
      </c>
      <c r="N17">
        <f t="shared" si="15"/>
        <v>23170</v>
      </c>
      <c r="O17">
        <f t="shared" si="11"/>
        <v>23170</v>
      </c>
      <c r="P17">
        <f t="shared" si="12"/>
        <v>14188</v>
      </c>
    </row>
    <row r="18" spans="1:16" x14ac:dyDescent="0.25">
      <c r="A18">
        <f t="shared" si="13"/>
        <v>12</v>
      </c>
      <c r="B18">
        <f t="shared" si="14"/>
        <v>3.0000000000000009E-3</v>
      </c>
      <c r="C18">
        <f t="shared" si="0"/>
        <v>0.80901699437494756</v>
      </c>
      <c r="D18">
        <f t="shared" si="1"/>
        <v>0.9945218953682734</v>
      </c>
      <c r="E18">
        <f t="shared" si="2"/>
        <v>0.80901699437494756</v>
      </c>
      <c r="F18">
        <f t="shared" si="3"/>
        <v>0.9945218953682734</v>
      </c>
      <c r="G18">
        <f t="shared" si="4"/>
        <v>0.80458511463091664</v>
      </c>
      <c r="H18">
        <f t="shared" si="5"/>
        <v>26509</v>
      </c>
      <c r="I18">
        <f t="shared" si="6"/>
        <v>26509</v>
      </c>
      <c r="J18">
        <f t="shared" si="7"/>
        <v>32587</v>
      </c>
      <c r="K18">
        <f t="shared" si="8"/>
        <v>702727081</v>
      </c>
      <c r="L18">
        <f t="shared" si="9"/>
        <v>1061912569</v>
      </c>
      <c r="M18">
        <f t="shared" si="10"/>
        <v>26362</v>
      </c>
      <c r="N18">
        <f t="shared" si="15"/>
        <v>23170</v>
      </c>
      <c r="O18">
        <f t="shared" si="11"/>
        <v>23170</v>
      </c>
      <c r="P18">
        <f t="shared" si="12"/>
        <v>14188</v>
      </c>
    </row>
    <row r="19" spans="1:16" x14ac:dyDescent="0.25">
      <c r="A19">
        <f t="shared" si="13"/>
        <v>13</v>
      </c>
      <c r="B19">
        <f t="shared" si="14"/>
        <v>3.2500000000000012E-3</v>
      </c>
      <c r="C19">
        <f t="shared" si="0"/>
        <v>0.8526401643540924</v>
      </c>
      <c r="D19">
        <f t="shared" si="1"/>
        <v>0.99965732497555726</v>
      </c>
      <c r="E19">
        <f t="shared" si="2"/>
        <v>0.8526401643540924</v>
      </c>
      <c r="F19">
        <f t="shared" si="3"/>
        <v>0.99965732497555726</v>
      </c>
      <c r="G19">
        <f t="shared" si="4"/>
        <v>0.85234798586493155</v>
      </c>
      <c r="H19">
        <f t="shared" si="5"/>
        <v>27938</v>
      </c>
      <c r="I19">
        <f t="shared" si="6"/>
        <v>27938</v>
      </c>
      <c r="J19">
        <f t="shared" si="7"/>
        <v>32755</v>
      </c>
      <c r="K19">
        <f t="shared" si="8"/>
        <v>780531844</v>
      </c>
      <c r="L19">
        <f t="shared" si="9"/>
        <v>1072890025</v>
      </c>
      <c r="M19">
        <f t="shared" si="10"/>
        <v>27926</v>
      </c>
      <c r="N19">
        <f t="shared" si="15"/>
        <v>23170</v>
      </c>
      <c r="O19">
        <f t="shared" si="11"/>
        <v>23170</v>
      </c>
      <c r="P19">
        <f t="shared" si="12"/>
        <v>14188</v>
      </c>
    </row>
    <row r="20" spans="1:16" x14ac:dyDescent="0.25">
      <c r="A20">
        <f t="shared" si="13"/>
        <v>14</v>
      </c>
      <c r="B20">
        <f t="shared" si="14"/>
        <v>3.5000000000000014E-3</v>
      </c>
      <c r="C20">
        <f t="shared" si="0"/>
        <v>0.89100652418836801</v>
      </c>
      <c r="D20">
        <f t="shared" si="1"/>
        <v>0.99862953475457383</v>
      </c>
      <c r="E20">
        <f t="shared" si="2"/>
        <v>0.89100652418836801</v>
      </c>
      <c r="F20">
        <f t="shared" si="3"/>
        <v>0.99862953475457383</v>
      </c>
      <c r="G20">
        <f t="shared" si="4"/>
        <v>0.8897854307135199</v>
      </c>
      <c r="H20">
        <f t="shared" si="5"/>
        <v>29196</v>
      </c>
      <c r="I20">
        <f t="shared" si="6"/>
        <v>29195</v>
      </c>
      <c r="J20">
        <f t="shared" si="7"/>
        <v>32722</v>
      </c>
      <c r="K20">
        <f t="shared" si="8"/>
        <v>852348025</v>
      </c>
      <c r="L20">
        <f t="shared" si="9"/>
        <v>1070729284</v>
      </c>
      <c r="M20">
        <f t="shared" si="10"/>
        <v>29154</v>
      </c>
      <c r="N20">
        <f t="shared" si="15"/>
        <v>23170</v>
      </c>
      <c r="O20">
        <f t="shared" si="11"/>
        <v>23170</v>
      </c>
      <c r="P20">
        <f t="shared" si="12"/>
        <v>14188</v>
      </c>
    </row>
    <row r="21" spans="1:16" x14ac:dyDescent="0.25">
      <c r="A21">
        <f t="shared" si="13"/>
        <v>15</v>
      </c>
      <c r="B21">
        <f t="shared" si="14"/>
        <v>3.7500000000000016E-3</v>
      </c>
      <c r="C21">
        <f t="shared" si="0"/>
        <v>0.92387953251128696</v>
      </c>
      <c r="D21">
        <f t="shared" si="1"/>
        <v>0.99144486137381038</v>
      </c>
      <c r="E21">
        <f t="shared" si="2"/>
        <v>0.92387953251128696</v>
      </c>
      <c r="F21">
        <f t="shared" si="3"/>
        <v>0.99144486137381038</v>
      </c>
      <c r="G21">
        <f t="shared" si="4"/>
        <v>0.91597561503675362</v>
      </c>
      <c r="H21">
        <f t="shared" si="5"/>
        <v>30273</v>
      </c>
      <c r="I21">
        <f t="shared" si="6"/>
        <v>30272</v>
      </c>
      <c r="J21">
        <f t="shared" si="7"/>
        <v>32486</v>
      </c>
      <c r="K21">
        <f t="shared" si="8"/>
        <v>916393984</v>
      </c>
      <c r="L21">
        <f t="shared" si="9"/>
        <v>1055340196</v>
      </c>
      <c r="M21">
        <f t="shared" si="10"/>
        <v>30011</v>
      </c>
      <c r="N21">
        <f t="shared" si="15"/>
        <v>23170</v>
      </c>
      <c r="O21">
        <f t="shared" si="11"/>
        <v>23170</v>
      </c>
      <c r="P21">
        <f t="shared" si="12"/>
        <v>14188</v>
      </c>
    </row>
    <row r="22" spans="1:16" x14ac:dyDescent="0.25">
      <c r="A22">
        <f t="shared" si="13"/>
        <v>16</v>
      </c>
      <c r="B22">
        <f t="shared" si="14"/>
        <v>4.0000000000000018E-3</v>
      </c>
      <c r="C22">
        <f t="shared" si="0"/>
        <v>0.95105651629515375</v>
      </c>
      <c r="D22">
        <f t="shared" si="1"/>
        <v>0.97814760073380547</v>
      </c>
      <c r="E22">
        <f t="shared" si="2"/>
        <v>0.95105651629515375</v>
      </c>
      <c r="F22">
        <f t="shared" si="3"/>
        <v>0.97814760073380547</v>
      </c>
      <c r="G22">
        <f t="shared" si="4"/>
        <v>0.93027364957635605</v>
      </c>
      <c r="H22">
        <f t="shared" si="5"/>
        <v>31163</v>
      </c>
      <c r="I22">
        <f t="shared" si="6"/>
        <v>31163</v>
      </c>
      <c r="J22">
        <f t="shared" si="7"/>
        <v>32050</v>
      </c>
      <c r="K22">
        <f t="shared" si="8"/>
        <v>971132569</v>
      </c>
      <c r="L22">
        <f t="shared" si="9"/>
        <v>1027202500</v>
      </c>
      <c r="M22">
        <f t="shared" si="10"/>
        <v>30480</v>
      </c>
      <c r="N22">
        <f t="shared" si="15"/>
        <v>23170</v>
      </c>
      <c r="O22">
        <f t="shared" si="11"/>
        <v>23170</v>
      </c>
      <c r="P22">
        <f t="shared" si="12"/>
        <v>14188</v>
      </c>
    </row>
    <row r="23" spans="1:16" x14ac:dyDescent="0.25">
      <c r="A23">
        <f t="shared" si="13"/>
        <v>17</v>
      </c>
      <c r="B23">
        <f t="shared" si="14"/>
        <v>4.250000000000002E-3</v>
      </c>
      <c r="C23">
        <f t="shared" si="0"/>
        <v>0.97236992039767678</v>
      </c>
      <c r="D23">
        <f t="shared" si="1"/>
        <v>0.95881973486819283</v>
      </c>
      <c r="E23">
        <f t="shared" si="2"/>
        <v>0.97236992039767678</v>
      </c>
      <c r="F23">
        <f t="shared" si="3"/>
        <v>0.95881973486819283</v>
      </c>
      <c r="G23">
        <f t="shared" si="4"/>
        <v>0.93232746926950627</v>
      </c>
      <c r="H23">
        <f t="shared" si="5"/>
        <v>31862</v>
      </c>
      <c r="I23">
        <f t="shared" si="6"/>
        <v>31861</v>
      </c>
      <c r="J23">
        <f t="shared" si="7"/>
        <v>31417</v>
      </c>
      <c r="K23">
        <f t="shared" si="8"/>
        <v>1015123321</v>
      </c>
      <c r="L23">
        <f t="shared" si="9"/>
        <v>987027889</v>
      </c>
      <c r="M23">
        <f t="shared" si="10"/>
        <v>30547</v>
      </c>
      <c r="N23">
        <f t="shared" si="15"/>
        <v>23170</v>
      </c>
      <c r="O23">
        <f t="shared" si="11"/>
        <v>23170</v>
      </c>
      <c r="P23">
        <f t="shared" si="12"/>
        <v>14188</v>
      </c>
    </row>
    <row r="24" spans="1:16" x14ac:dyDescent="0.25">
      <c r="A24">
        <f t="shared" si="13"/>
        <v>18</v>
      </c>
      <c r="B24">
        <f t="shared" si="14"/>
        <v>4.5000000000000023E-3</v>
      </c>
      <c r="C24">
        <f t="shared" si="0"/>
        <v>0.98768834059513777</v>
      </c>
      <c r="D24">
        <f t="shared" si="1"/>
        <v>0.93358042649720152</v>
      </c>
      <c r="E24">
        <f t="shared" si="2"/>
        <v>0.98768834059513777</v>
      </c>
      <c r="F24">
        <f t="shared" si="3"/>
        <v>0.93358042649720152</v>
      </c>
      <c r="G24">
        <f t="shared" si="4"/>
        <v>0.92208650225912192</v>
      </c>
      <c r="H24">
        <f t="shared" si="5"/>
        <v>32364</v>
      </c>
      <c r="I24">
        <f t="shared" si="6"/>
        <v>32363</v>
      </c>
      <c r="J24">
        <f t="shared" si="7"/>
        <v>30590</v>
      </c>
      <c r="K24">
        <f t="shared" si="8"/>
        <v>1047363769</v>
      </c>
      <c r="L24">
        <f t="shared" si="9"/>
        <v>935748100</v>
      </c>
      <c r="M24">
        <f t="shared" si="10"/>
        <v>30211</v>
      </c>
      <c r="N24">
        <f t="shared" si="15"/>
        <v>23170</v>
      </c>
      <c r="O24">
        <f t="shared" si="11"/>
        <v>23170</v>
      </c>
      <c r="P24">
        <f t="shared" si="12"/>
        <v>14188</v>
      </c>
    </row>
    <row r="25" spans="1:16" x14ac:dyDescent="0.25">
      <c r="A25">
        <f t="shared" si="13"/>
        <v>19</v>
      </c>
      <c r="B25">
        <f t="shared" si="14"/>
        <v>4.7500000000000025E-3</v>
      </c>
      <c r="C25">
        <f t="shared" si="0"/>
        <v>0.99691733373312807</v>
      </c>
      <c r="D25">
        <f t="shared" si="1"/>
        <v>0.9025852843498603</v>
      </c>
      <c r="E25">
        <f t="shared" si="2"/>
        <v>0.99691733373312807</v>
      </c>
      <c r="F25">
        <f t="shared" si="3"/>
        <v>0.9025852843498603</v>
      </c>
      <c r="G25">
        <f t="shared" si="4"/>
        <v>0.89980291514082</v>
      </c>
      <c r="H25">
        <f t="shared" si="5"/>
        <v>32666</v>
      </c>
      <c r="I25">
        <f t="shared" si="6"/>
        <v>32665</v>
      </c>
      <c r="J25">
        <f t="shared" si="7"/>
        <v>29575</v>
      </c>
      <c r="K25">
        <f t="shared" si="8"/>
        <v>1067002225</v>
      </c>
      <c r="L25">
        <f t="shared" si="9"/>
        <v>874680625</v>
      </c>
      <c r="M25">
        <f t="shared" si="10"/>
        <v>29482</v>
      </c>
      <c r="N25">
        <f t="shared" si="15"/>
        <v>23170</v>
      </c>
      <c r="O25">
        <f t="shared" si="11"/>
        <v>23170</v>
      </c>
      <c r="P25">
        <f t="shared" si="12"/>
        <v>14188</v>
      </c>
    </row>
    <row r="26" spans="1:16" x14ac:dyDescent="0.25">
      <c r="A26">
        <f t="shared" si="13"/>
        <v>20</v>
      </c>
      <c r="B26">
        <f t="shared" si="14"/>
        <v>5.0000000000000027E-3</v>
      </c>
      <c r="C26">
        <f t="shared" si="0"/>
        <v>1</v>
      </c>
      <c r="D26">
        <f t="shared" si="1"/>
        <v>0.86602540378443826</v>
      </c>
      <c r="E26">
        <f t="shared" si="2"/>
        <v>1</v>
      </c>
      <c r="F26">
        <f t="shared" si="3"/>
        <v>0.86602540378443826</v>
      </c>
      <c r="G26">
        <f t="shared" si="4"/>
        <v>0.86602540378443826</v>
      </c>
      <c r="H26">
        <f t="shared" si="5"/>
        <v>32767</v>
      </c>
      <c r="I26">
        <f t="shared" si="6"/>
        <v>32767</v>
      </c>
      <c r="J26">
        <f t="shared" si="7"/>
        <v>28377</v>
      </c>
      <c r="K26">
        <f t="shared" si="8"/>
        <v>1073676289</v>
      </c>
      <c r="L26">
        <f t="shared" si="9"/>
        <v>805254129</v>
      </c>
      <c r="M26">
        <f t="shared" si="10"/>
        <v>28376</v>
      </c>
      <c r="N26">
        <f t="shared" si="15"/>
        <v>23170</v>
      </c>
      <c r="O26">
        <f t="shared" si="11"/>
        <v>23170</v>
      </c>
      <c r="P26">
        <f t="shared" si="12"/>
        <v>14188</v>
      </c>
    </row>
    <row r="27" spans="1:16" x14ac:dyDescent="0.25">
      <c r="A27">
        <f t="shared" si="13"/>
        <v>21</v>
      </c>
      <c r="B27">
        <f t="shared" si="14"/>
        <v>5.2500000000000029E-3</v>
      </c>
      <c r="C27">
        <f t="shared" si="0"/>
        <v>0.99691733373312796</v>
      </c>
      <c r="D27">
        <f t="shared" si="1"/>
        <v>0.82412618862201525</v>
      </c>
      <c r="E27">
        <f t="shared" si="2"/>
        <v>0.99691733373312796</v>
      </c>
      <c r="F27">
        <f t="shared" si="3"/>
        <v>0.82412618862201525</v>
      </c>
      <c r="G27">
        <f t="shared" si="4"/>
        <v>0.82158568262070431</v>
      </c>
      <c r="H27">
        <f t="shared" si="5"/>
        <v>32666</v>
      </c>
      <c r="I27">
        <f t="shared" si="6"/>
        <v>32665</v>
      </c>
      <c r="J27">
        <f t="shared" si="7"/>
        <v>27004</v>
      </c>
      <c r="K27">
        <f t="shared" si="8"/>
        <v>1067002225</v>
      </c>
      <c r="L27">
        <f t="shared" si="9"/>
        <v>729216016</v>
      </c>
      <c r="M27">
        <f t="shared" si="10"/>
        <v>26919</v>
      </c>
      <c r="N27">
        <f t="shared" si="15"/>
        <v>23170</v>
      </c>
      <c r="O27">
        <f t="shared" si="11"/>
        <v>23170</v>
      </c>
      <c r="P27">
        <f t="shared" si="12"/>
        <v>14188</v>
      </c>
    </row>
    <row r="28" spans="1:16" x14ac:dyDescent="0.25">
      <c r="A28">
        <f t="shared" si="13"/>
        <v>22</v>
      </c>
      <c r="B28">
        <f t="shared" si="14"/>
        <v>5.5000000000000032E-3</v>
      </c>
      <c r="C28">
        <f t="shared" si="0"/>
        <v>0.98768834059513755</v>
      </c>
      <c r="D28">
        <f t="shared" si="1"/>
        <v>0.77714596145697024</v>
      </c>
      <c r="E28">
        <f t="shared" si="2"/>
        <v>0.98768834059513755</v>
      </c>
      <c r="F28">
        <f t="shared" si="3"/>
        <v>0.77714596145697024</v>
      </c>
      <c r="G28">
        <f t="shared" si="4"/>
        <v>0.76757800507164764</v>
      </c>
      <c r="H28">
        <f t="shared" si="5"/>
        <v>32364</v>
      </c>
      <c r="I28">
        <f t="shared" si="6"/>
        <v>32363</v>
      </c>
      <c r="J28">
        <f t="shared" si="7"/>
        <v>25464</v>
      </c>
      <c r="K28">
        <f t="shared" si="8"/>
        <v>1047363769</v>
      </c>
      <c r="L28">
        <f t="shared" si="9"/>
        <v>648415296</v>
      </c>
      <c r="M28">
        <f t="shared" si="10"/>
        <v>25149</v>
      </c>
      <c r="N28">
        <f t="shared" si="15"/>
        <v>23170</v>
      </c>
      <c r="O28">
        <f t="shared" si="11"/>
        <v>23170</v>
      </c>
      <c r="P28">
        <f t="shared" si="12"/>
        <v>14188</v>
      </c>
    </row>
    <row r="29" spans="1:16" x14ac:dyDescent="0.25">
      <c r="A29">
        <f t="shared" si="13"/>
        <v>23</v>
      </c>
      <c r="B29">
        <f t="shared" si="14"/>
        <v>5.7500000000000034E-3</v>
      </c>
      <c r="C29">
        <f t="shared" si="0"/>
        <v>0.97236992039767633</v>
      </c>
      <c r="D29">
        <f t="shared" si="1"/>
        <v>0.72537437101228686</v>
      </c>
      <c r="E29">
        <f t="shared" si="2"/>
        <v>0.97236992039767633</v>
      </c>
      <c r="F29">
        <f t="shared" si="3"/>
        <v>0.72537437101228686</v>
      </c>
      <c r="G29">
        <f t="shared" si="4"/>
        <v>0.7053322193997319</v>
      </c>
      <c r="H29">
        <f t="shared" si="5"/>
        <v>31862</v>
      </c>
      <c r="I29">
        <f t="shared" si="6"/>
        <v>31861</v>
      </c>
      <c r="J29">
        <f t="shared" si="7"/>
        <v>23768</v>
      </c>
      <c r="K29">
        <f t="shared" si="8"/>
        <v>1015123321</v>
      </c>
      <c r="L29">
        <f t="shared" si="9"/>
        <v>564917824</v>
      </c>
      <c r="M29">
        <f t="shared" si="10"/>
        <v>23110</v>
      </c>
      <c r="N29">
        <f t="shared" si="15"/>
        <v>23170</v>
      </c>
      <c r="O29">
        <f t="shared" si="11"/>
        <v>23170</v>
      </c>
      <c r="P29">
        <f t="shared" si="12"/>
        <v>14188</v>
      </c>
    </row>
    <row r="30" spans="1:16" x14ac:dyDescent="0.25">
      <c r="A30">
        <f t="shared" si="13"/>
        <v>24</v>
      </c>
      <c r="B30">
        <f t="shared" si="14"/>
        <v>6.0000000000000036E-3</v>
      </c>
      <c r="C30">
        <f t="shared" si="0"/>
        <v>0.9510565162951532</v>
      </c>
      <c r="D30">
        <f t="shared" si="1"/>
        <v>0.66913060635885735</v>
      </c>
      <c r="E30">
        <f t="shared" si="2"/>
        <v>0.9510565162951532</v>
      </c>
      <c r="F30">
        <f t="shared" si="3"/>
        <v>0.66913060635885735</v>
      </c>
      <c r="G30">
        <f t="shared" si="4"/>
        <v>0.63638102343011838</v>
      </c>
      <c r="H30">
        <f t="shared" si="5"/>
        <v>31163</v>
      </c>
      <c r="I30">
        <f t="shared" si="6"/>
        <v>31163</v>
      </c>
      <c r="J30">
        <f t="shared" si="7"/>
        <v>21925</v>
      </c>
      <c r="K30">
        <f t="shared" si="8"/>
        <v>971132569</v>
      </c>
      <c r="L30">
        <f t="shared" si="9"/>
        <v>480705625</v>
      </c>
      <c r="M30">
        <f t="shared" si="10"/>
        <v>20851</v>
      </c>
      <c r="N30">
        <f t="shared" si="15"/>
        <v>23170</v>
      </c>
      <c r="O30">
        <f t="shared" si="11"/>
        <v>23170</v>
      </c>
      <c r="P30">
        <f t="shared" si="12"/>
        <v>14188</v>
      </c>
    </row>
    <row r="31" spans="1:16" x14ac:dyDescent="0.25">
      <c r="A31">
        <f t="shared" si="13"/>
        <v>25</v>
      </c>
      <c r="B31">
        <f t="shared" si="14"/>
        <v>6.2500000000000038E-3</v>
      </c>
      <c r="C31">
        <f t="shared" si="0"/>
        <v>0.92387953251128629</v>
      </c>
      <c r="D31">
        <f t="shared" si="1"/>
        <v>0.60876142900871977</v>
      </c>
      <c r="E31">
        <f t="shared" si="2"/>
        <v>0.92387953251128629</v>
      </c>
      <c r="F31">
        <f t="shared" si="3"/>
        <v>0.60876142900871977</v>
      </c>
      <c r="G31">
        <f t="shared" si="4"/>
        <v>0.56242222444347867</v>
      </c>
      <c r="H31">
        <f t="shared" si="5"/>
        <v>30273</v>
      </c>
      <c r="I31">
        <f t="shared" si="6"/>
        <v>30272</v>
      </c>
      <c r="J31">
        <f t="shared" si="7"/>
        <v>19947</v>
      </c>
      <c r="K31">
        <f t="shared" si="8"/>
        <v>916393984</v>
      </c>
      <c r="L31">
        <f t="shared" si="9"/>
        <v>397882809</v>
      </c>
      <c r="M31">
        <f t="shared" si="10"/>
        <v>18427</v>
      </c>
      <c r="N31">
        <f t="shared" si="15"/>
        <v>23170</v>
      </c>
      <c r="O31">
        <f t="shared" si="11"/>
        <v>23170</v>
      </c>
      <c r="P31">
        <f t="shared" si="12"/>
        <v>14188</v>
      </c>
    </row>
    <row r="32" spans="1:16" x14ac:dyDescent="0.25">
      <c r="A32">
        <f t="shared" si="13"/>
        <v>26</v>
      </c>
      <c r="B32">
        <f t="shared" si="14"/>
        <v>6.500000000000004E-3</v>
      </c>
      <c r="C32">
        <f t="shared" si="0"/>
        <v>0.89100652418836734</v>
      </c>
      <c r="D32">
        <f t="shared" si="1"/>
        <v>0.5446390350150262</v>
      </c>
      <c r="E32">
        <f t="shared" si="2"/>
        <v>0.89100652418836734</v>
      </c>
      <c r="F32">
        <f t="shared" si="3"/>
        <v>0.5446390350150262</v>
      </c>
      <c r="G32">
        <f t="shared" si="4"/>
        <v>0.48527693352604501</v>
      </c>
      <c r="H32">
        <f t="shared" si="5"/>
        <v>29196</v>
      </c>
      <c r="I32">
        <f t="shared" si="6"/>
        <v>29195</v>
      </c>
      <c r="J32">
        <f t="shared" si="7"/>
        <v>17846</v>
      </c>
      <c r="K32">
        <f t="shared" si="8"/>
        <v>852348025</v>
      </c>
      <c r="L32">
        <f t="shared" si="9"/>
        <v>318479716</v>
      </c>
      <c r="M32">
        <f t="shared" si="10"/>
        <v>15900</v>
      </c>
      <c r="N32">
        <f t="shared" si="15"/>
        <v>23170</v>
      </c>
      <c r="O32">
        <f t="shared" si="11"/>
        <v>23170</v>
      </c>
      <c r="P32">
        <f t="shared" si="12"/>
        <v>14188</v>
      </c>
    </row>
    <row r="33" spans="1:16" x14ac:dyDescent="0.25">
      <c r="A33">
        <f t="shared" si="13"/>
        <v>27</v>
      </c>
      <c r="B33">
        <f t="shared" si="14"/>
        <v>6.7500000000000043E-3</v>
      </c>
      <c r="C33">
        <f t="shared" si="0"/>
        <v>0.85264016435409162</v>
      </c>
      <c r="D33">
        <f t="shared" si="1"/>
        <v>0.47715876025960746</v>
      </c>
      <c r="E33">
        <f t="shared" si="2"/>
        <v>0.85264016435409162</v>
      </c>
      <c r="F33">
        <f t="shared" si="3"/>
        <v>0.47715876025960746</v>
      </c>
      <c r="G33">
        <f t="shared" si="4"/>
        <v>0.40684472377074632</v>
      </c>
      <c r="H33">
        <f t="shared" si="5"/>
        <v>27938</v>
      </c>
      <c r="I33">
        <f t="shared" si="6"/>
        <v>27938</v>
      </c>
      <c r="J33">
        <f t="shared" si="7"/>
        <v>15635</v>
      </c>
      <c r="K33">
        <f t="shared" si="8"/>
        <v>780531844</v>
      </c>
      <c r="L33">
        <f t="shared" si="9"/>
        <v>244453225</v>
      </c>
      <c r="M33">
        <f t="shared" si="10"/>
        <v>13330</v>
      </c>
      <c r="N33">
        <f t="shared" si="15"/>
        <v>23170</v>
      </c>
      <c r="O33">
        <f t="shared" si="11"/>
        <v>23170</v>
      </c>
      <c r="P33">
        <f t="shared" si="12"/>
        <v>14188</v>
      </c>
    </row>
    <row r="34" spans="1:16" x14ac:dyDescent="0.25">
      <c r="A34">
        <f t="shared" si="13"/>
        <v>28</v>
      </c>
      <c r="B34">
        <f t="shared" si="14"/>
        <v>7.0000000000000045E-3</v>
      </c>
      <c r="C34">
        <f t="shared" si="0"/>
        <v>0.80901699437494667</v>
      </c>
      <c r="D34">
        <f t="shared" si="1"/>
        <v>0.40673664307579921</v>
      </c>
      <c r="E34">
        <f t="shared" si="2"/>
        <v>0.80901699437494667</v>
      </c>
      <c r="F34">
        <f t="shared" si="3"/>
        <v>0.40673664307579921</v>
      </c>
      <c r="G34">
        <f t="shared" si="4"/>
        <v>0.32905685648333854</v>
      </c>
      <c r="H34">
        <f t="shared" si="5"/>
        <v>26509</v>
      </c>
      <c r="I34">
        <f t="shared" si="6"/>
        <v>26509</v>
      </c>
      <c r="J34">
        <f t="shared" si="7"/>
        <v>13327</v>
      </c>
      <c r="K34">
        <f t="shared" si="8"/>
        <v>702727081</v>
      </c>
      <c r="L34">
        <f t="shared" si="9"/>
        <v>177608929</v>
      </c>
      <c r="M34">
        <f t="shared" si="10"/>
        <v>10781</v>
      </c>
      <c r="N34">
        <f t="shared" si="15"/>
        <v>23170</v>
      </c>
      <c r="O34">
        <f t="shared" si="11"/>
        <v>23170</v>
      </c>
      <c r="P34">
        <f t="shared" si="12"/>
        <v>14188</v>
      </c>
    </row>
    <row r="35" spans="1:16" x14ac:dyDescent="0.25">
      <c r="A35">
        <f t="shared" si="13"/>
        <v>29</v>
      </c>
      <c r="B35">
        <f t="shared" si="14"/>
        <v>7.2500000000000047E-3</v>
      </c>
      <c r="C35">
        <f t="shared" si="0"/>
        <v>0.76040596560002982</v>
      </c>
      <c r="D35">
        <f t="shared" si="1"/>
        <v>0.33380685923376952</v>
      </c>
      <c r="E35">
        <f t="shared" si="2"/>
        <v>0.76040596560002982</v>
      </c>
      <c r="F35">
        <f t="shared" si="3"/>
        <v>0.33380685923376952</v>
      </c>
      <c r="G35">
        <f t="shared" si="4"/>
        <v>0.25382872711956772</v>
      </c>
      <c r="H35">
        <f t="shared" si="5"/>
        <v>24916</v>
      </c>
      <c r="I35">
        <f t="shared" si="6"/>
        <v>24916</v>
      </c>
      <c r="J35">
        <f t="shared" si="7"/>
        <v>10937</v>
      </c>
      <c r="K35">
        <f t="shared" si="8"/>
        <v>620807056</v>
      </c>
      <c r="L35">
        <f t="shared" si="9"/>
        <v>119617969</v>
      </c>
      <c r="M35">
        <f t="shared" si="10"/>
        <v>8316</v>
      </c>
      <c r="N35">
        <f t="shared" si="15"/>
        <v>23170</v>
      </c>
      <c r="O35">
        <f t="shared" si="11"/>
        <v>23170</v>
      </c>
      <c r="P35">
        <f t="shared" si="12"/>
        <v>14188</v>
      </c>
    </row>
    <row r="36" spans="1:16" x14ac:dyDescent="0.25">
      <c r="A36">
        <f t="shared" si="13"/>
        <v>30</v>
      </c>
      <c r="B36">
        <f t="shared" si="14"/>
        <v>7.5000000000000049E-3</v>
      </c>
      <c r="C36">
        <f t="shared" si="0"/>
        <v>0.70710678118654635</v>
      </c>
      <c r="D36">
        <f t="shared" si="1"/>
        <v>0.2588190451025193</v>
      </c>
      <c r="E36">
        <f t="shared" si="2"/>
        <v>0.70710678118654635</v>
      </c>
      <c r="F36">
        <f t="shared" si="3"/>
        <v>0.2588190451025193</v>
      </c>
      <c r="G36">
        <f t="shared" si="4"/>
        <v>0.18301270189221799</v>
      </c>
      <c r="H36">
        <f t="shared" si="5"/>
        <v>23170</v>
      </c>
      <c r="I36">
        <f t="shared" si="6"/>
        <v>23169</v>
      </c>
      <c r="J36">
        <f t="shared" si="7"/>
        <v>8480</v>
      </c>
      <c r="K36">
        <f t="shared" si="8"/>
        <v>536802561</v>
      </c>
      <c r="L36">
        <f t="shared" si="9"/>
        <v>71910400</v>
      </c>
      <c r="M36">
        <f t="shared" si="10"/>
        <v>5995</v>
      </c>
      <c r="N36">
        <f t="shared" si="15"/>
        <v>23170</v>
      </c>
      <c r="O36">
        <f t="shared" si="11"/>
        <v>23170</v>
      </c>
      <c r="P36">
        <f t="shared" si="12"/>
        <v>14188</v>
      </c>
    </row>
    <row r="37" spans="1:16" x14ac:dyDescent="0.25">
      <c r="A37">
        <f t="shared" si="13"/>
        <v>31</v>
      </c>
      <c r="B37">
        <f t="shared" si="14"/>
        <v>7.7500000000000051E-3</v>
      </c>
      <c r="C37">
        <f t="shared" si="0"/>
        <v>0.64944804833018233</v>
      </c>
      <c r="D37">
        <f t="shared" si="1"/>
        <v>0.18223552549214597</v>
      </c>
      <c r="E37">
        <f t="shared" si="2"/>
        <v>0.64944804833018233</v>
      </c>
      <c r="F37">
        <f t="shared" si="3"/>
        <v>0.18223552549214597</v>
      </c>
      <c r="G37">
        <f t="shared" si="4"/>
        <v>0.1183525063672994</v>
      </c>
      <c r="H37">
        <f t="shared" si="5"/>
        <v>21280</v>
      </c>
      <c r="I37">
        <f t="shared" si="6"/>
        <v>21280</v>
      </c>
      <c r="J37">
        <f t="shared" si="7"/>
        <v>5971</v>
      </c>
      <c r="K37">
        <f t="shared" si="8"/>
        <v>452838400</v>
      </c>
      <c r="L37">
        <f t="shared" si="9"/>
        <v>35652841</v>
      </c>
      <c r="M37">
        <f t="shared" si="10"/>
        <v>3877</v>
      </c>
      <c r="N37">
        <f t="shared" si="15"/>
        <v>23170</v>
      </c>
      <c r="O37">
        <f t="shared" si="11"/>
        <v>23170</v>
      </c>
      <c r="P37">
        <f t="shared" si="12"/>
        <v>14188</v>
      </c>
    </row>
    <row r="38" spans="1:16" x14ac:dyDescent="0.25">
      <c r="A38">
        <f t="shared" si="13"/>
        <v>32</v>
      </c>
      <c r="B38">
        <f t="shared" si="14"/>
        <v>8.0000000000000054E-3</v>
      </c>
      <c r="C38">
        <f t="shared" si="0"/>
        <v>0.5877852522924718</v>
      </c>
      <c r="D38">
        <f t="shared" si="1"/>
        <v>0.10452846326765197</v>
      </c>
      <c r="E38">
        <f t="shared" si="2"/>
        <v>0.5877852522924718</v>
      </c>
      <c r="F38">
        <f t="shared" si="3"/>
        <v>0.10452846326765197</v>
      </c>
      <c r="G38">
        <f t="shared" si="4"/>
        <v>6.1440289153521184E-2</v>
      </c>
      <c r="H38">
        <f t="shared" si="5"/>
        <v>19260</v>
      </c>
      <c r="I38">
        <f t="shared" si="6"/>
        <v>19259</v>
      </c>
      <c r="J38">
        <f t="shared" si="7"/>
        <v>3425</v>
      </c>
      <c r="K38">
        <f t="shared" si="8"/>
        <v>370909081</v>
      </c>
      <c r="L38">
        <f t="shared" si="9"/>
        <v>11730625</v>
      </c>
      <c r="M38">
        <f t="shared" si="10"/>
        <v>2013</v>
      </c>
      <c r="N38">
        <f t="shared" si="15"/>
        <v>23170</v>
      </c>
      <c r="O38">
        <f t="shared" si="11"/>
        <v>23170</v>
      </c>
      <c r="P38">
        <f t="shared" si="12"/>
        <v>14188</v>
      </c>
    </row>
    <row r="39" spans="1:16" x14ac:dyDescent="0.25">
      <c r="A39">
        <f t="shared" si="13"/>
        <v>33</v>
      </c>
      <c r="B39">
        <f t="shared" si="14"/>
        <v>8.2500000000000056E-3</v>
      </c>
      <c r="C39">
        <f t="shared" si="0"/>
        <v>0.52249856471594747</v>
      </c>
      <c r="D39">
        <f t="shared" si="1"/>
        <v>2.6176948307871647E-2</v>
      </c>
      <c r="E39">
        <f t="shared" si="2"/>
        <v>0.52249856471594747</v>
      </c>
      <c r="F39">
        <f t="shared" si="3"/>
        <v>2.6176948307871647E-2</v>
      </c>
      <c r="G39">
        <f t="shared" si="4"/>
        <v>1.3677417919506486E-2</v>
      </c>
      <c r="H39">
        <f t="shared" si="5"/>
        <v>17121</v>
      </c>
      <c r="I39">
        <f t="shared" si="6"/>
        <v>17120</v>
      </c>
      <c r="J39">
        <f t="shared" si="7"/>
        <v>857</v>
      </c>
      <c r="K39">
        <f t="shared" si="8"/>
        <v>293094400</v>
      </c>
      <c r="L39">
        <f t="shared" si="9"/>
        <v>734449</v>
      </c>
      <c r="M39">
        <f t="shared" si="10"/>
        <v>447</v>
      </c>
      <c r="N39">
        <f t="shared" si="15"/>
        <v>23170</v>
      </c>
      <c r="O39">
        <f t="shared" si="11"/>
        <v>23170</v>
      </c>
      <c r="P39">
        <f t="shared" si="12"/>
        <v>14188</v>
      </c>
    </row>
    <row r="40" spans="1:16" x14ac:dyDescent="0.25">
      <c r="A40">
        <f t="shared" si="13"/>
        <v>34</v>
      </c>
      <c r="B40">
        <f t="shared" si="14"/>
        <v>8.5000000000000058E-3</v>
      </c>
      <c r="C40">
        <f t="shared" si="0"/>
        <v>0.45399049973954531</v>
      </c>
      <c r="D40">
        <f t="shared" si="1"/>
        <v>-5.2335956242945333E-2</v>
      </c>
      <c r="E40">
        <f t="shared" si="2"/>
        <v>0.45399049973954531</v>
      </c>
      <c r="F40">
        <f t="shared" si="3"/>
        <v>-5.2335956242945333E-2</v>
      </c>
      <c r="G40">
        <f t="shared" si="4"/>
        <v>-2.3760026929081728E-2</v>
      </c>
      <c r="H40">
        <f t="shared" si="5"/>
        <v>14876</v>
      </c>
      <c r="I40">
        <f t="shared" si="6"/>
        <v>14875</v>
      </c>
      <c r="J40">
        <f t="shared" si="7"/>
        <v>-1715</v>
      </c>
      <c r="K40">
        <f t="shared" si="8"/>
        <v>221265625</v>
      </c>
      <c r="L40">
        <f t="shared" si="9"/>
        <v>2941225</v>
      </c>
      <c r="M40">
        <f t="shared" si="10"/>
        <v>-779</v>
      </c>
      <c r="N40">
        <f t="shared" si="15"/>
        <v>23170</v>
      </c>
      <c r="O40">
        <f t="shared" si="11"/>
        <v>23170</v>
      </c>
      <c r="P40">
        <f t="shared" si="12"/>
        <v>14188</v>
      </c>
    </row>
    <row r="41" spans="1:16" x14ac:dyDescent="0.25">
      <c r="A41">
        <f t="shared" si="13"/>
        <v>35</v>
      </c>
      <c r="B41">
        <f t="shared" si="14"/>
        <v>8.750000000000006E-3</v>
      </c>
      <c r="C41">
        <f t="shared" si="0"/>
        <v>0.38268343236508784</v>
      </c>
      <c r="D41">
        <f t="shared" si="1"/>
        <v>-0.13052619222005352</v>
      </c>
      <c r="E41">
        <f t="shared" si="2"/>
        <v>0.38268343236508784</v>
      </c>
      <c r="F41">
        <f t="shared" si="3"/>
        <v>-0.13052619222005352</v>
      </c>
      <c r="G41">
        <f t="shared" si="4"/>
        <v>-4.9950211252315302E-2</v>
      </c>
      <c r="H41">
        <f t="shared" si="5"/>
        <v>12539</v>
      </c>
      <c r="I41">
        <f t="shared" si="6"/>
        <v>12539</v>
      </c>
      <c r="J41">
        <f t="shared" si="7"/>
        <v>-4278</v>
      </c>
      <c r="K41">
        <f t="shared" si="8"/>
        <v>157226521</v>
      </c>
      <c r="L41">
        <f t="shared" si="9"/>
        <v>18301284</v>
      </c>
      <c r="M41">
        <f t="shared" si="10"/>
        <v>-1638</v>
      </c>
      <c r="N41">
        <f t="shared" si="15"/>
        <v>23170</v>
      </c>
      <c r="O41">
        <f t="shared" si="11"/>
        <v>23170</v>
      </c>
      <c r="P41">
        <f t="shared" si="12"/>
        <v>14188</v>
      </c>
    </row>
    <row r="42" spans="1:16" x14ac:dyDescent="0.25">
      <c r="A42">
        <f t="shared" si="13"/>
        <v>36</v>
      </c>
      <c r="B42">
        <f t="shared" si="14"/>
        <v>9.0000000000000063E-3</v>
      </c>
      <c r="C42">
        <f t="shared" si="0"/>
        <v>0.3090169943749454</v>
      </c>
      <c r="D42">
        <f t="shared" si="1"/>
        <v>-0.20791169081776123</v>
      </c>
      <c r="E42">
        <f t="shared" si="2"/>
        <v>0.3090169943749454</v>
      </c>
      <c r="F42">
        <f t="shared" si="3"/>
        <v>-0.20791169081776123</v>
      </c>
      <c r="G42">
        <f t="shared" si="4"/>
        <v>-6.4248245791917513E-2</v>
      </c>
      <c r="H42">
        <f t="shared" si="5"/>
        <v>10126</v>
      </c>
      <c r="I42">
        <f t="shared" si="6"/>
        <v>10125</v>
      </c>
      <c r="J42">
        <f t="shared" si="7"/>
        <v>-6813</v>
      </c>
      <c r="K42">
        <f t="shared" si="8"/>
        <v>102515625</v>
      </c>
      <c r="L42">
        <f t="shared" si="9"/>
        <v>46416969</v>
      </c>
      <c r="M42">
        <f t="shared" si="10"/>
        <v>-2106</v>
      </c>
      <c r="N42">
        <f t="shared" si="15"/>
        <v>23170</v>
      </c>
      <c r="O42">
        <f t="shared" si="11"/>
        <v>23170</v>
      </c>
      <c r="P42">
        <f t="shared" si="12"/>
        <v>14188</v>
      </c>
    </row>
    <row r="43" spans="1:16" x14ac:dyDescent="0.25">
      <c r="A43">
        <f t="shared" si="13"/>
        <v>37</v>
      </c>
      <c r="B43">
        <f t="shared" si="14"/>
        <v>9.2500000000000065E-3</v>
      </c>
      <c r="C43">
        <f t="shared" si="0"/>
        <v>0.23344536385590337</v>
      </c>
      <c r="D43">
        <f t="shared" si="1"/>
        <v>-0.28401534470392448</v>
      </c>
      <c r="E43">
        <f t="shared" si="2"/>
        <v>0.23344536385590337</v>
      </c>
      <c r="F43">
        <f t="shared" si="3"/>
        <v>-0.28401534470392448</v>
      </c>
      <c r="G43">
        <f t="shared" si="4"/>
        <v>-6.6302065485067466E-2</v>
      </c>
      <c r="H43">
        <f t="shared" si="5"/>
        <v>7649</v>
      </c>
      <c r="I43">
        <f t="shared" si="6"/>
        <v>7649</v>
      </c>
      <c r="J43">
        <f t="shared" si="7"/>
        <v>-9307</v>
      </c>
      <c r="K43">
        <f t="shared" si="8"/>
        <v>58507201</v>
      </c>
      <c r="L43">
        <f t="shared" si="9"/>
        <v>86620249</v>
      </c>
      <c r="M43">
        <f t="shared" si="10"/>
        <v>-2173</v>
      </c>
      <c r="N43">
        <f t="shared" si="15"/>
        <v>23170</v>
      </c>
      <c r="O43">
        <f t="shared" si="11"/>
        <v>23170</v>
      </c>
      <c r="P43">
        <f t="shared" si="12"/>
        <v>14188</v>
      </c>
    </row>
    <row r="44" spans="1:16" x14ac:dyDescent="0.25">
      <c r="A44">
        <f t="shared" si="13"/>
        <v>38</v>
      </c>
      <c r="B44">
        <f t="shared" si="14"/>
        <v>9.5000000000000067E-3</v>
      </c>
      <c r="C44">
        <f t="shared" si="0"/>
        <v>0.15643446504022879</v>
      </c>
      <c r="D44">
        <f t="shared" si="1"/>
        <v>-0.3583679495453021</v>
      </c>
      <c r="E44">
        <f t="shared" si="2"/>
        <v>0.15643446504022879</v>
      </c>
      <c r="F44">
        <f t="shared" si="3"/>
        <v>-0.3583679495453021</v>
      </c>
      <c r="G44">
        <f t="shared" si="4"/>
        <v>-5.6061098474683033E-2</v>
      </c>
      <c r="H44">
        <f t="shared" si="5"/>
        <v>5126</v>
      </c>
      <c r="I44">
        <f t="shared" si="6"/>
        <v>5125</v>
      </c>
      <c r="J44">
        <f t="shared" si="7"/>
        <v>-11744</v>
      </c>
      <c r="K44">
        <f t="shared" si="8"/>
        <v>26265625</v>
      </c>
      <c r="L44">
        <f t="shared" si="9"/>
        <v>137921536</v>
      </c>
      <c r="M44">
        <f t="shared" si="10"/>
        <v>-1837</v>
      </c>
      <c r="N44">
        <f t="shared" si="15"/>
        <v>23170</v>
      </c>
      <c r="O44">
        <f t="shared" si="11"/>
        <v>23170</v>
      </c>
      <c r="P44">
        <f t="shared" si="12"/>
        <v>14188</v>
      </c>
    </row>
    <row r="45" spans="1:16" x14ac:dyDescent="0.25">
      <c r="A45">
        <f t="shared" si="13"/>
        <v>39</v>
      </c>
      <c r="B45">
        <f t="shared" si="14"/>
        <v>9.7500000000000069E-3</v>
      </c>
      <c r="C45">
        <f t="shared" si="0"/>
        <v>7.8459095727842848E-2</v>
      </c>
      <c r="D45">
        <f t="shared" si="1"/>
        <v>-0.43051109680829691</v>
      </c>
      <c r="E45">
        <f t="shared" si="2"/>
        <v>7.8459095727842848E-2</v>
      </c>
      <c r="F45">
        <f t="shared" si="3"/>
        <v>-0.43051109680829691</v>
      </c>
      <c r="G45">
        <f t="shared" si="4"/>
        <v>-3.3777511356380789E-2</v>
      </c>
      <c r="H45">
        <f t="shared" si="5"/>
        <v>2571</v>
      </c>
      <c r="I45">
        <f t="shared" si="6"/>
        <v>2570</v>
      </c>
      <c r="J45">
        <f t="shared" si="7"/>
        <v>-14107</v>
      </c>
      <c r="K45">
        <f t="shared" si="8"/>
        <v>6604900</v>
      </c>
      <c r="L45">
        <f t="shared" si="9"/>
        <v>199007449</v>
      </c>
      <c r="M45">
        <f t="shared" si="10"/>
        <v>-1107</v>
      </c>
      <c r="N45">
        <f t="shared" si="15"/>
        <v>23170</v>
      </c>
      <c r="O45">
        <f t="shared" si="11"/>
        <v>23170</v>
      </c>
      <c r="P45">
        <f t="shared" si="12"/>
        <v>14188</v>
      </c>
    </row>
    <row r="46" spans="1:16" x14ac:dyDescent="0.25">
      <c r="A46">
        <f t="shared" si="13"/>
        <v>40</v>
      </c>
      <c r="B46">
        <f t="shared" si="14"/>
        <v>1.0000000000000007E-2</v>
      </c>
      <c r="C46">
        <f t="shared" si="0"/>
        <v>-2.0979312037594511E-15</v>
      </c>
      <c r="D46">
        <f t="shared" si="1"/>
        <v>-0.50000000000000167</v>
      </c>
      <c r="E46">
        <f t="shared" si="2"/>
        <v>-2.0979312037594511E-15</v>
      </c>
      <c r="F46">
        <f t="shared" si="3"/>
        <v>-0.50000000000000167</v>
      </c>
      <c r="G46">
        <f t="shared" si="4"/>
        <v>1.0489656018797291E-15</v>
      </c>
      <c r="H46">
        <f t="shared" si="5"/>
        <v>0</v>
      </c>
      <c r="I46">
        <f t="shared" si="6"/>
        <v>-1</v>
      </c>
      <c r="J46">
        <f t="shared" si="7"/>
        <v>-16385</v>
      </c>
      <c r="K46">
        <f t="shared" si="8"/>
        <v>1</v>
      </c>
      <c r="L46">
        <f t="shared" si="9"/>
        <v>268468225</v>
      </c>
      <c r="M46">
        <f t="shared" si="10"/>
        <v>0</v>
      </c>
      <c r="N46">
        <f t="shared" si="15"/>
        <v>23170</v>
      </c>
      <c r="O46">
        <f t="shared" si="11"/>
        <v>23170</v>
      </c>
      <c r="P46">
        <f t="shared" si="12"/>
        <v>14188</v>
      </c>
    </row>
    <row r="47" spans="1:16" x14ac:dyDescent="0.25">
      <c r="A47">
        <f t="shared" si="13"/>
        <v>41</v>
      </c>
      <c r="B47">
        <f t="shared" si="14"/>
        <v>1.0250000000000007E-2</v>
      </c>
      <c r="C47">
        <f t="shared" si="0"/>
        <v>-7.8459095727847469E-2</v>
      </c>
      <c r="D47">
        <f t="shared" si="1"/>
        <v>-0.56640623692483483</v>
      </c>
      <c r="E47">
        <f t="shared" si="2"/>
        <v>-7.8459095727847469E-2</v>
      </c>
      <c r="F47">
        <f t="shared" si="3"/>
        <v>-0.56640623692483483</v>
      </c>
      <c r="G47">
        <f t="shared" si="4"/>
        <v>4.4439721163735471E-2</v>
      </c>
      <c r="H47">
        <f t="shared" si="5"/>
        <v>-2571</v>
      </c>
      <c r="I47">
        <f t="shared" si="6"/>
        <v>-2571</v>
      </c>
      <c r="J47">
        <f t="shared" si="7"/>
        <v>-18560</v>
      </c>
      <c r="K47">
        <f t="shared" si="8"/>
        <v>6610041</v>
      </c>
      <c r="L47">
        <f t="shared" si="9"/>
        <v>344473600</v>
      </c>
      <c r="M47">
        <f t="shared" si="10"/>
        <v>1456</v>
      </c>
      <c r="N47">
        <f t="shared" si="15"/>
        <v>23170</v>
      </c>
      <c r="O47">
        <f t="shared" si="11"/>
        <v>23170</v>
      </c>
      <c r="P47">
        <f t="shared" si="12"/>
        <v>14188</v>
      </c>
    </row>
    <row r="48" spans="1:16" x14ac:dyDescent="0.25">
      <c r="A48">
        <f t="shared" si="13"/>
        <v>42</v>
      </c>
      <c r="B48">
        <f t="shared" si="14"/>
        <v>1.0500000000000008E-2</v>
      </c>
      <c r="C48">
        <f t="shared" si="0"/>
        <v>-0.15643446504023337</v>
      </c>
      <c r="D48">
        <f t="shared" si="1"/>
        <v>-0.62932039104983928</v>
      </c>
      <c r="E48">
        <f t="shared" si="2"/>
        <v>-0.15643446504023337</v>
      </c>
      <c r="F48">
        <f t="shared" si="3"/>
        <v>-0.62932039104983928</v>
      </c>
      <c r="G48">
        <f t="shared" si="4"/>
        <v>9.8447398712792081E-2</v>
      </c>
      <c r="H48">
        <f t="shared" si="5"/>
        <v>-5126</v>
      </c>
      <c r="I48">
        <f t="shared" si="6"/>
        <v>-5127</v>
      </c>
      <c r="J48">
        <f t="shared" si="7"/>
        <v>-20622</v>
      </c>
      <c r="K48">
        <f t="shared" si="8"/>
        <v>26286129</v>
      </c>
      <c r="L48">
        <f t="shared" si="9"/>
        <v>425266884</v>
      </c>
      <c r="M48">
        <f t="shared" si="10"/>
        <v>3226</v>
      </c>
      <c r="N48">
        <f t="shared" si="15"/>
        <v>23170</v>
      </c>
      <c r="O48">
        <f t="shared" si="11"/>
        <v>23170</v>
      </c>
      <c r="P48">
        <f t="shared" si="12"/>
        <v>14188</v>
      </c>
    </row>
    <row r="49" spans="1:16" x14ac:dyDescent="0.25">
      <c r="A49">
        <f t="shared" si="13"/>
        <v>43</v>
      </c>
      <c r="B49">
        <f t="shared" si="14"/>
        <v>1.0750000000000008E-2</v>
      </c>
      <c r="C49">
        <f t="shared" si="0"/>
        <v>-0.23344536385590786</v>
      </c>
      <c r="D49">
        <f t="shared" si="1"/>
        <v>-0.68835457569375569</v>
      </c>
      <c r="E49">
        <f t="shared" si="2"/>
        <v>-0.23344536385590786</v>
      </c>
      <c r="F49">
        <f t="shared" si="3"/>
        <v>-0.68835457569375569</v>
      </c>
      <c r="G49">
        <f t="shared" si="4"/>
        <v>0.16069318438470787</v>
      </c>
      <c r="H49">
        <f t="shared" si="5"/>
        <v>-7650</v>
      </c>
      <c r="I49">
        <f t="shared" si="6"/>
        <v>-7650</v>
      </c>
      <c r="J49">
        <f t="shared" si="7"/>
        <v>-22557</v>
      </c>
      <c r="K49">
        <f t="shared" si="8"/>
        <v>58522500</v>
      </c>
      <c r="L49">
        <f t="shared" si="9"/>
        <v>508818249</v>
      </c>
      <c r="M49">
        <f t="shared" si="10"/>
        <v>5266</v>
      </c>
      <c r="N49">
        <f t="shared" si="15"/>
        <v>23170</v>
      </c>
      <c r="O49">
        <f t="shared" si="11"/>
        <v>23170</v>
      </c>
      <c r="P49">
        <f t="shared" si="12"/>
        <v>14188</v>
      </c>
    </row>
    <row r="50" spans="1:16" x14ac:dyDescent="0.25">
      <c r="A50">
        <f t="shared" si="13"/>
        <v>44</v>
      </c>
      <c r="B50">
        <f t="shared" si="14"/>
        <v>1.1000000000000008E-2</v>
      </c>
      <c r="C50">
        <f t="shared" si="0"/>
        <v>-0.30901699437494984</v>
      </c>
      <c r="D50">
        <f t="shared" si="1"/>
        <v>-0.7431448254773958</v>
      </c>
      <c r="E50">
        <f t="shared" si="2"/>
        <v>-0.30901699437494984</v>
      </c>
      <c r="F50">
        <f t="shared" si="3"/>
        <v>-0.7431448254773958</v>
      </c>
      <c r="G50">
        <f t="shared" si="4"/>
        <v>0.2296443803543215</v>
      </c>
      <c r="H50">
        <f t="shared" si="5"/>
        <v>-10126</v>
      </c>
      <c r="I50">
        <f t="shared" si="6"/>
        <v>-10126</v>
      </c>
      <c r="J50">
        <f t="shared" si="7"/>
        <v>-24352</v>
      </c>
      <c r="K50">
        <f t="shared" si="8"/>
        <v>102535876</v>
      </c>
      <c r="L50">
        <f t="shared" si="9"/>
        <v>593019904</v>
      </c>
      <c r="M50">
        <f t="shared" si="10"/>
        <v>7525</v>
      </c>
      <c r="N50">
        <f t="shared" si="15"/>
        <v>23170</v>
      </c>
      <c r="O50">
        <f t="shared" si="11"/>
        <v>23170</v>
      </c>
      <c r="P50">
        <f t="shared" si="12"/>
        <v>14188</v>
      </c>
    </row>
    <row r="51" spans="1:16" x14ac:dyDescent="0.25">
      <c r="A51">
        <f t="shared" si="13"/>
        <v>45</v>
      </c>
      <c r="B51">
        <f t="shared" si="14"/>
        <v>1.1250000000000008E-2</v>
      </c>
      <c r="C51">
        <f t="shared" si="0"/>
        <v>-0.38268343236509211</v>
      </c>
      <c r="D51">
        <f t="shared" si="1"/>
        <v>-0.79335334029123661</v>
      </c>
      <c r="E51">
        <f t="shared" si="2"/>
        <v>-0.38268343236509211</v>
      </c>
      <c r="F51">
        <f t="shared" si="3"/>
        <v>-0.79335334029123661</v>
      </c>
      <c r="G51">
        <f t="shared" si="4"/>
        <v>0.30360317934096137</v>
      </c>
      <c r="H51">
        <f t="shared" si="5"/>
        <v>-12540</v>
      </c>
      <c r="I51">
        <f t="shared" si="6"/>
        <v>-12540</v>
      </c>
      <c r="J51">
        <f t="shared" si="7"/>
        <v>-25997</v>
      </c>
      <c r="K51">
        <f t="shared" si="8"/>
        <v>157251600</v>
      </c>
      <c r="L51">
        <f t="shared" si="9"/>
        <v>675844009</v>
      </c>
      <c r="M51">
        <f t="shared" si="10"/>
        <v>9948</v>
      </c>
      <c r="N51">
        <f t="shared" si="15"/>
        <v>23170</v>
      </c>
      <c r="O51">
        <f t="shared" si="11"/>
        <v>23170</v>
      </c>
      <c r="P51">
        <f t="shared" si="12"/>
        <v>14188</v>
      </c>
    </row>
    <row r="52" spans="1:16" x14ac:dyDescent="0.25">
      <c r="A52">
        <f t="shared" si="13"/>
        <v>46</v>
      </c>
      <c r="B52">
        <f t="shared" si="14"/>
        <v>1.1500000000000008E-2</v>
      </c>
      <c r="C52">
        <f t="shared" si="0"/>
        <v>-0.45399049973954902</v>
      </c>
      <c r="D52">
        <f t="shared" si="1"/>
        <v>-0.8386705679454256</v>
      </c>
      <c r="E52">
        <f t="shared" si="2"/>
        <v>-0.45399049973954902</v>
      </c>
      <c r="F52">
        <f t="shared" si="3"/>
        <v>-0.8386705679454256</v>
      </c>
      <c r="G52">
        <f t="shared" si="4"/>
        <v>0.3807484702583952</v>
      </c>
      <c r="H52">
        <f t="shared" si="5"/>
        <v>-14876</v>
      </c>
      <c r="I52">
        <f t="shared" si="6"/>
        <v>-14877</v>
      </c>
      <c r="J52">
        <f t="shared" si="7"/>
        <v>-27482</v>
      </c>
      <c r="K52">
        <f t="shared" si="8"/>
        <v>221325129</v>
      </c>
      <c r="L52">
        <f t="shared" si="9"/>
        <v>755260324</v>
      </c>
      <c r="M52">
        <f t="shared" si="10"/>
        <v>12477</v>
      </c>
      <c r="N52">
        <f t="shared" si="15"/>
        <v>23170</v>
      </c>
      <c r="O52">
        <f t="shared" si="11"/>
        <v>23170</v>
      </c>
      <c r="P52">
        <f t="shared" si="12"/>
        <v>14188</v>
      </c>
    </row>
    <row r="53" spans="1:16" x14ac:dyDescent="0.25">
      <c r="A53">
        <f t="shared" si="13"/>
        <v>47</v>
      </c>
      <c r="B53">
        <f t="shared" si="14"/>
        <v>1.1750000000000009E-2</v>
      </c>
      <c r="C53">
        <f t="shared" si="0"/>
        <v>-0.52249856471595135</v>
      </c>
      <c r="D53">
        <f t="shared" si="1"/>
        <v>-0.87881711266196694</v>
      </c>
      <c r="E53">
        <f t="shared" si="2"/>
        <v>-0.52249856471595135</v>
      </c>
      <c r="F53">
        <f t="shared" si="3"/>
        <v>-0.87881711266196694</v>
      </c>
      <c r="G53">
        <f t="shared" si="4"/>
        <v>0.45918068001369422</v>
      </c>
      <c r="H53">
        <f t="shared" si="5"/>
        <v>-17121</v>
      </c>
      <c r="I53">
        <f t="shared" si="6"/>
        <v>-17122</v>
      </c>
      <c r="J53">
        <f t="shared" si="7"/>
        <v>-28798</v>
      </c>
      <c r="K53">
        <f t="shared" si="8"/>
        <v>293162884</v>
      </c>
      <c r="L53">
        <f t="shared" si="9"/>
        <v>829324804</v>
      </c>
      <c r="M53">
        <f t="shared" si="10"/>
        <v>15047</v>
      </c>
      <c r="N53">
        <f t="shared" si="15"/>
        <v>23170</v>
      </c>
      <c r="O53">
        <f t="shared" si="11"/>
        <v>23170</v>
      </c>
      <c r="P53">
        <f t="shared" si="12"/>
        <v>14188</v>
      </c>
    </row>
    <row r="54" spans="1:16" x14ac:dyDescent="0.25">
      <c r="A54">
        <f t="shared" si="13"/>
        <v>48</v>
      </c>
      <c r="B54">
        <f t="shared" si="14"/>
        <v>1.2000000000000009E-2</v>
      </c>
      <c r="C54">
        <f t="shared" si="0"/>
        <v>-0.58778525229247558</v>
      </c>
      <c r="D54">
        <f t="shared" si="1"/>
        <v>-0.91354545764260198</v>
      </c>
      <c r="E54">
        <f t="shared" si="2"/>
        <v>-0.58778525229247558</v>
      </c>
      <c r="F54">
        <f t="shared" si="3"/>
        <v>-0.91354545764260198</v>
      </c>
      <c r="G54">
        <f t="shared" si="4"/>
        <v>0.53696854730110188</v>
      </c>
      <c r="H54">
        <f t="shared" si="5"/>
        <v>-19261</v>
      </c>
      <c r="I54">
        <f t="shared" si="6"/>
        <v>-19261</v>
      </c>
      <c r="J54">
        <f t="shared" si="7"/>
        <v>-29936</v>
      </c>
      <c r="K54">
        <f t="shared" si="8"/>
        <v>370986121</v>
      </c>
      <c r="L54">
        <f t="shared" si="9"/>
        <v>896164096</v>
      </c>
      <c r="M54">
        <f t="shared" si="10"/>
        <v>17596</v>
      </c>
      <c r="N54">
        <f t="shared" si="15"/>
        <v>23170</v>
      </c>
      <c r="O54">
        <f t="shared" si="11"/>
        <v>23170</v>
      </c>
      <c r="P54">
        <f t="shared" si="12"/>
        <v>14188</v>
      </c>
    </row>
    <row r="55" spans="1:16" x14ac:dyDescent="0.25">
      <c r="A55">
        <f t="shared" si="13"/>
        <v>49</v>
      </c>
      <c r="B55">
        <f t="shared" si="14"/>
        <v>1.2250000000000009E-2</v>
      </c>
      <c r="C55">
        <f t="shared" si="0"/>
        <v>-0.64944804833018588</v>
      </c>
      <c r="D55">
        <f t="shared" si="1"/>
        <v>-0.94264149109217943</v>
      </c>
      <c r="E55">
        <f t="shared" si="2"/>
        <v>-0.64944804833018588</v>
      </c>
      <c r="F55">
        <f t="shared" si="3"/>
        <v>-0.94264149109217943</v>
      </c>
      <c r="G55">
        <f t="shared" si="4"/>
        <v>0.61219667666487221</v>
      </c>
      <c r="H55">
        <f t="shared" si="5"/>
        <v>-21281</v>
      </c>
      <c r="I55">
        <f t="shared" si="6"/>
        <v>-21282</v>
      </c>
      <c r="J55">
        <f t="shared" si="7"/>
        <v>-30889</v>
      </c>
      <c r="K55">
        <f t="shared" si="8"/>
        <v>452923524</v>
      </c>
      <c r="L55">
        <f t="shared" si="9"/>
        <v>954130321</v>
      </c>
      <c r="M55">
        <f t="shared" si="10"/>
        <v>20061</v>
      </c>
      <c r="N55">
        <f t="shared" si="15"/>
        <v>23170</v>
      </c>
      <c r="O55">
        <f t="shared" si="11"/>
        <v>23170</v>
      </c>
      <c r="P55">
        <f t="shared" si="12"/>
        <v>14188</v>
      </c>
    </row>
    <row r="56" spans="1:16" x14ac:dyDescent="0.25">
      <c r="A56">
        <f t="shared" si="13"/>
        <v>50</v>
      </c>
      <c r="B56">
        <f t="shared" si="14"/>
        <v>1.2500000000000009E-2</v>
      </c>
      <c r="C56">
        <f t="shared" si="0"/>
        <v>-0.70710678118654957</v>
      </c>
      <c r="D56">
        <f t="shared" si="1"/>
        <v>-0.96592582628906898</v>
      </c>
      <c r="E56">
        <f t="shared" si="2"/>
        <v>-0.70710678118654957</v>
      </c>
      <c r="F56">
        <f t="shared" si="3"/>
        <v>-0.96592582628906898</v>
      </c>
      <c r="G56">
        <f t="shared" si="4"/>
        <v>0.68301270189222174</v>
      </c>
      <c r="H56">
        <f t="shared" si="5"/>
        <v>-23170</v>
      </c>
      <c r="I56">
        <f t="shared" si="6"/>
        <v>-23171</v>
      </c>
      <c r="J56">
        <f t="shared" si="7"/>
        <v>-31652</v>
      </c>
      <c r="K56">
        <f t="shared" si="8"/>
        <v>536895241</v>
      </c>
      <c r="L56">
        <f t="shared" si="9"/>
        <v>1001849104</v>
      </c>
      <c r="M56">
        <f t="shared" si="10"/>
        <v>22381</v>
      </c>
      <c r="N56">
        <f t="shared" si="15"/>
        <v>23170</v>
      </c>
      <c r="O56">
        <f t="shared" si="11"/>
        <v>23170</v>
      </c>
      <c r="P56">
        <f t="shared" si="12"/>
        <v>14188</v>
      </c>
    </row>
    <row r="57" spans="1:16" x14ac:dyDescent="0.25">
      <c r="A57">
        <f t="shared" si="13"/>
        <v>51</v>
      </c>
      <c r="B57">
        <f t="shared" si="14"/>
        <v>1.275000000000001E-2</v>
      </c>
      <c r="C57">
        <f t="shared" si="0"/>
        <v>-0.76040596560003282</v>
      </c>
      <c r="D57">
        <f t="shared" si="1"/>
        <v>-0.98325490756395517</v>
      </c>
      <c r="E57">
        <f t="shared" si="2"/>
        <v>-0.76040596560003282</v>
      </c>
      <c r="F57">
        <f t="shared" si="3"/>
        <v>-0.98325490756395517</v>
      </c>
      <c r="G57">
        <f t="shared" si="4"/>
        <v>0.74767289741714038</v>
      </c>
      <c r="H57">
        <f t="shared" si="5"/>
        <v>-24917</v>
      </c>
      <c r="I57">
        <f t="shared" si="6"/>
        <v>-24917</v>
      </c>
      <c r="J57">
        <f t="shared" si="7"/>
        <v>-32220</v>
      </c>
      <c r="K57">
        <f t="shared" si="8"/>
        <v>620856889</v>
      </c>
      <c r="L57">
        <f t="shared" si="9"/>
        <v>1038128400</v>
      </c>
      <c r="M57">
        <f t="shared" si="10"/>
        <v>24500</v>
      </c>
      <c r="N57">
        <f t="shared" si="15"/>
        <v>23170</v>
      </c>
      <c r="O57">
        <f t="shared" si="11"/>
        <v>23170</v>
      </c>
      <c r="P57">
        <f t="shared" si="12"/>
        <v>14188</v>
      </c>
    </row>
    <row r="58" spans="1:16" x14ac:dyDescent="0.25">
      <c r="A58">
        <f t="shared" si="13"/>
        <v>52</v>
      </c>
      <c r="B58">
        <f t="shared" si="14"/>
        <v>1.300000000000001E-2</v>
      </c>
      <c r="C58">
        <f t="shared" si="0"/>
        <v>-0.80901699437494945</v>
      </c>
      <c r="D58">
        <f t="shared" si="1"/>
        <v>-0.99452189536827373</v>
      </c>
      <c r="E58">
        <f t="shared" si="2"/>
        <v>-0.80901699437494945</v>
      </c>
      <c r="F58">
        <f t="shared" si="3"/>
        <v>-0.99452189536827373</v>
      </c>
      <c r="G58">
        <f t="shared" si="4"/>
        <v>0.80458511463091875</v>
      </c>
      <c r="H58">
        <f t="shared" si="5"/>
        <v>-26510</v>
      </c>
      <c r="I58">
        <f t="shared" si="6"/>
        <v>-26510</v>
      </c>
      <c r="J58">
        <f t="shared" si="7"/>
        <v>-32589</v>
      </c>
      <c r="K58">
        <f t="shared" si="8"/>
        <v>702780100</v>
      </c>
      <c r="L58">
        <f t="shared" si="9"/>
        <v>1062042921</v>
      </c>
      <c r="M58">
        <f t="shared" si="10"/>
        <v>26365</v>
      </c>
      <c r="N58">
        <f t="shared" si="15"/>
        <v>23170</v>
      </c>
      <c r="O58">
        <f t="shared" si="11"/>
        <v>23170</v>
      </c>
      <c r="P58">
        <f t="shared" si="12"/>
        <v>14188</v>
      </c>
    </row>
    <row r="59" spans="1:16" x14ac:dyDescent="0.25">
      <c r="A59">
        <f t="shared" si="13"/>
        <v>53</v>
      </c>
      <c r="B59">
        <f t="shared" si="14"/>
        <v>1.325000000000001E-2</v>
      </c>
      <c r="C59">
        <f t="shared" si="0"/>
        <v>-0.85264016435409373</v>
      </c>
      <c r="D59">
        <f t="shared" si="1"/>
        <v>-0.99965732497555737</v>
      </c>
      <c r="E59">
        <f t="shared" si="2"/>
        <v>-0.85264016435409373</v>
      </c>
      <c r="F59">
        <f t="shared" si="3"/>
        <v>-0.99965732497555737</v>
      </c>
      <c r="G59">
        <f t="shared" si="4"/>
        <v>0.85234798586493288</v>
      </c>
      <c r="H59">
        <f t="shared" si="5"/>
        <v>-27939</v>
      </c>
      <c r="I59">
        <f t="shared" si="6"/>
        <v>-27940</v>
      </c>
      <c r="J59">
        <f t="shared" si="7"/>
        <v>-32757</v>
      </c>
      <c r="K59">
        <f t="shared" si="8"/>
        <v>780643600</v>
      </c>
      <c r="L59">
        <f t="shared" si="9"/>
        <v>1073021049</v>
      </c>
      <c r="M59">
        <f t="shared" si="10"/>
        <v>27930</v>
      </c>
      <c r="N59">
        <f t="shared" si="15"/>
        <v>23170</v>
      </c>
      <c r="O59">
        <f t="shared" si="11"/>
        <v>23170</v>
      </c>
      <c r="P59">
        <f t="shared" si="12"/>
        <v>14188</v>
      </c>
    </row>
    <row r="60" spans="1:16" x14ac:dyDescent="0.25">
      <c r="A60">
        <f t="shared" si="13"/>
        <v>54</v>
      </c>
      <c r="B60">
        <f t="shared" si="14"/>
        <v>1.350000000000001E-2</v>
      </c>
      <c r="C60">
        <f t="shared" si="0"/>
        <v>-0.89100652418836945</v>
      </c>
      <c r="D60">
        <f t="shared" si="1"/>
        <v>-0.99862953475457372</v>
      </c>
      <c r="E60">
        <f t="shared" si="2"/>
        <v>-0.89100652418836945</v>
      </c>
      <c r="F60">
        <f t="shared" si="3"/>
        <v>-0.99862953475457372</v>
      </c>
      <c r="G60">
        <f t="shared" si="4"/>
        <v>0.88978543071352123</v>
      </c>
      <c r="H60">
        <f t="shared" si="5"/>
        <v>-29197</v>
      </c>
      <c r="I60">
        <f t="shared" si="6"/>
        <v>-29197</v>
      </c>
      <c r="J60">
        <f t="shared" si="7"/>
        <v>-32724</v>
      </c>
      <c r="K60">
        <f t="shared" si="8"/>
        <v>852464809</v>
      </c>
      <c r="L60">
        <f t="shared" si="9"/>
        <v>1070860176</v>
      </c>
      <c r="M60">
        <f t="shared" si="10"/>
        <v>29157</v>
      </c>
      <c r="N60">
        <f t="shared" si="15"/>
        <v>23170</v>
      </c>
      <c r="O60">
        <f t="shared" si="11"/>
        <v>23170</v>
      </c>
      <c r="P60">
        <f t="shared" si="12"/>
        <v>14188</v>
      </c>
    </row>
    <row r="61" spans="1:16" x14ac:dyDescent="0.25">
      <c r="A61">
        <f t="shared" si="13"/>
        <v>55</v>
      </c>
      <c r="B61">
        <f t="shared" si="14"/>
        <v>1.375000000000001E-2</v>
      </c>
      <c r="C61">
        <f t="shared" si="0"/>
        <v>-0.92387953251128785</v>
      </c>
      <c r="D61">
        <f t="shared" si="1"/>
        <v>-0.99144486137380994</v>
      </c>
      <c r="E61">
        <f t="shared" si="2"/>
        <v>-0.92387953251128785</v>
      </c>
      <c r="F61">
        <f t="shared" si="3"/>
        <v>-0.99144486137380994</v>
      </c>
      <c r="G61">
        <f t="shared" si="4"/>
        <v>0.91597561503675407</v>
      </c>
      <c r="H61">
        <f t="shared" si="5"/>
        <v>-30274</v>
      </c>
      <c r="I61">
        <f t="shared" si="6"/>
        <v>-30274</v>
      </c>
      <c r="J61">
        <f t="shared" si="7"/>
        <v>-32488</v>
      </c>
      <c r="K61">
        <f t="shared" si="8"/>
        <v>916515076</v>
      </c>
      <c r="L61">
        <f t="shared" si="9"/>
        <v>1055470144</v>
      </c>
      <c r="M61">
        <f t="shared" si="10"/>
        <v>30015</v>
      </c>
      <c r="N61">
        <f t="shared" si="15"/>
        <v>23170</v>
      </c>
      <c r="O61">
        <f t="shared" si="11"/>
        <v>23170</v>
      </c>
      <c r="P61">
        <f t="shared" si="12"/>
        <v>14188</v>
      </c>
    </row>
    <row r="62" spans="1:16" x14ac:dyDescent="0.25">
      <c r="A62">
        <f t="shared" si="13"/>
        <v>56</v>
      </c>
      <c r="B62">
        <f t="shared" si="14"/>
        <v>1.4000000000000011E-2</v>
      </c>
      <c r="C62">
        <f t="shared" si="0"/>
        <v>-0.95105651629515464</v>
      </c>
      <c r="D62">
        <f t="shared" si="1"/>
        <v>-0.97814760073380491</v>
      </c>
      <c r="E62">
        <f t="shared" si="2"/>
        <v>-0.95105651629515464</v>
      </c>
      <c r="F62">
        <f t="shared" si="3"/>
        <v>-0.97814760073380491</v>
      </c>
      <c r="G62">
        <f t="shared" si="4"/>
        <v>0.93027364957635639</v>
      </c>
      <c r="H62">
        <f t="shared" si="5"/>
        <v>-31164</v>
      </c>
      <c r="I62">
        <f t="shared" si="6"/>
        <v>-31165</v>
      </c>
      <c r="J62">
        <f t="shared" si="7"/>
        <v>-32052</v>
      </c>
      <c r="K62">
        <f t="shared" si="8"/>
        <v>971257225</v>
      </c>
      <c r="L62">
        <f t="shared" si="9"/>
        <v>1027330704</v>
      </c>
      <c r="M62">
        <f t="shared" si="10"/>
        <v>30484</v>
      </c>
      <c r="N62">
        <f t="shared" si="15"/>
        <v>23170</v>
      </c>
      <c r="O62">
        <f t="shared" si="11"/>
        <v>23170</v>
      </c>
      <c r="P62">
        <f t="shared" si="12"/>
        <v>14188</v>
      </c>
    </row>
    <row r="63" spans="1:16" x14ac:dyDescent="0.25">
      <c r="A63">
        <f t="shared" si="13"/>
        <v>57</v>
      </c>
      <c r="B63">
        <f t="shared" si="14"/>
        <v>1.4250000000000011E-2</v>
      </c>
      <c r="C63">
        <f t="shared" si="0"/>
        <v>-0.97236992039767745</v>
      </c>
      <c r="D63">
        <f t="shared" si="1"/>
        <v>-0.95881973486819183</v>
      </c>
      <c r="E63">
        <f t="shared" si="2"/>
        <v>-0.97236992039767745</v>
      </c>
      <c r="F63">
        <f t="shared" si="3"/>
        <v>-0.95881973486819183</v>
      </c>
      <c r="G63">
        <f t="shared" si="4"/>
        <v>0.93232746926950594</v>
      </c>
      <c r="H63">
        <f t="shared" si="5"/>
        <v>-31863</v>
      </c>
      <c r="I63">
        <f t="shared" si="6"/>
        <v>-31863</v>
      </c>
      <c r="J63">
        <f t="shared" si="7"/>
        <v>-31419</v>
      </c>
      <c r="K63">
        <f t="shared" si="8"/>
        <v>1015250769</v>
      </c>
      <c r="L63">
        <f t="shared" si="9"/>
        <v>987153561</v>
      </c>
      <c r="M63">
        <f t="shared" si="10"/>
        <v>30551</v>
      </c>
      <c r="N63">
        <f t="shared" si="15"/>
        <v>23170</v>
      </c>
      <c r="O63">
        <f t="shared" si="11"/>
        <v>23170</v>
      </c>
      <c r="P63">
        <f t="shared" si="12"/>
        <v>14188</v>
      </c>
    </row>
    <row r="64" spans="1:16" x14ac:dyDescent="0.25">
      <c r="A64">
        <f t="shared" si="13"/>
        <v>58</v>
      </c>
      <c r="B64">
        <f t="shared" si="14"/>
        <v>1.4500000000000011E-2</v>
      </c>
      <c r="C64">
        <f t="shared" si="0"/>
        <v>-0.98768834059513821</v>
      </c>
      <c r="D64">
        <f t="shared" si="1"/>
        <v>-0.93358042649720041</v>
      </c>
      <c r="E64">
        <f t="shared" si="2"/>
        <v>-0.98768834059513821</v>
      </c>
      <c r="F64">
        <f t="shared" si="3"/>
        <v>-0.93358042649720041</v>
      </c>
      <c r="G64">
        <f t="shared" si="4"/>
        <v>0.92208650225912125</v>
      </c>
      <c r="H64">
        <f t="shared" si="5"/>
        <v>-32365</v>
      </c>
      <c r="I64">
        <f t="shared" si="6"/>
        <v>-32365</v>
      </c>
      <c r="J64">
        <f t="shared" si="7"/>
        <v>-30592</v>
      </c>
      <c r="K64">
        <f t="shared" si="8"/>
        <v>1047493225</v>
      </c>
      <c r="L64">
        <f t="shared" si="9"/>
        <v>935870464</v>
      </c>
      <c r="M64">
        <f t="shared" si="10"/>
        <v>30215</v>
      </c>
      <c r="N64">
        <f t="shared" si="15"/>
        <v>23170</v>
      </c>
      <c r="O64">
        <f t="shared" si="11"/>
        <v>23170</v>
      </c>
      <c r="P64">
        <f t="shared" si="12"/>
        <v>14188</v>
      </c>
    </row>
    <row r="65" spans="1:16" x14ac:dyDescent="0.25">
      <c r="A65">
        <f t="shared" si="13"/>
        <v>59</v>
      </c>
      <c r="B65">
        <f t="shared" si="14"/>
        <v>1.4750000000000011E-2</v>
      </c>
      <c r="C65">
        <f t="shared" si="0"/>
        <v>-0.9969173337331283</v>
      </c>
      <c r="D65">
        <f t="shared" si="1"/>
        <v>-0.90258528434985885</v>
      </c>
      <c r="E65">
        <f t="shared" si="2"/>
        <v>-0.9969173337331283</v>
      </c>
      <c r="F65">
        <f t="shared" si="3"/>
        <v>-0.90258528434985885</v>
      </c>
      <c r="G65">
        <f t="shared" si="4"/>
        <v>0.89980291514081878</v>
      </c>
      <c r="H65">
        <f t="shared" si="5"/>
        <v>-32667</v>
      </c>
      <c r="I65">
        <f t="shared" si="6"/>
        <v>-32667</v>
      </c>
      <c r="J65">
        <f t="shared" si="7"/>
        <v>-29576</v>
      </c>
      <c r="K65">
        <f t="shared" si="8"/>
        <v>1067132889</v>
      </c>
      <c r="L65">
        <f t="shared" si="9"/>
        <v>874739776</v>
      </c>
      <c r="M65">
        <f t="shared" si="10"/>
        <v>29484</v>
      </c>
      <c r="N65">
        <f t="shared" si="15"/>
        <v>23170</v>
      </c>
      <c r="O65">
        <f t="shared" si="11"/>
        <v>23170</v>
      </c>
      <c r="P65">
        <f t="shared" si="12"/>
        <v>14188</v>
      </c>
    </row>
    <row r="66" spans="1:16" x14ac:dyDescent="0.25">
      <c r="A66">
        <f t="shared" si="13"/>
        <v>60</v>
      </c>
      <c r="B66">
        <f t="shared" si="14"/>
        <v>1.5000000000000012E-2</v>
      </c>
      <c r="C66">
        <f t="shared" si="0"/>
        <v>-1</v>
      </c>
      <c r="D66">
        <f t="shared" si="1"/>
        <v>-0.86602540378443682</v>
      </c>
      <c r="E66">
        <f t="shared" si="2"/>
        <v>-1</v>
      </c>
      <c r="F66">
        <f t="shared" si="3"/>
        <v>-0.86602540378443682</v>
      </c>
      <c r="G66">
        <f t="shared" si="4"/>
        <v>0.86602540378443682</v>
      </c>
      <c r="H66">
        <f t="shared" si="5"/>
        <v>-32768</v>
      </c>
      <c r="I66">
        <f t="shared" si="6"/>
        <v>-32768</v>
      </c>
      <c r="J66">
        <f t="shared" si="7"/>
        <v>-28378</v>
      </c>
      <c r="K66">
        <f t="shared" si="8"/>
        <v>1073741824</v>
      </c>
      <c r="L66">
        <f t="shared" si="9"/>
        <v>805310884</v>
      </c>
      <c r="M66">
        <f t="shared" si="10"/>
        <v>28378</v>
      </c>
      <c r="N66">
        <f t="shared" si="15"/>
        <v>23170</v>
      </c>
      <c r="O66">
        <f t="shared" si="11"/>
        <v>23170</v>
      </c>
      <c r="P66">
        <f t="shared" si="12"/>
        <v>14188</v>
      </c>
    </row>
    <row r="67" spans="1:16" x14ac:dyDescent="0.25">
      <c r="A67">
        <f t="shared" si="13"/>
        <v>61</v>
      </c>
      <c r="B67">
        <f t="shared" si="14"/>
        <v>1.5250000000000012E-2</v>
      </c>
      <c r="C67">
        <f t="shared" si="0"/>
        <v>-0.99691733373312763</v>
      </c>
      <c r="D67">
        <f t="shared" si="1"/>
        <v>-0.82412618862201337</v>
      </c>
      <c r="E67">
        <f t="shared" si="2"/>
        <v>-0.99691733373312763</v>
      </c>
      <c r="F67">
        <f t="shared" si="3"/>
        <v>-0.82412618862201337</v>
      </c>
      <c r="G67">
        <f t="shared" si="4"/>
        <v>0.8215856826207022</v>
      </c>
      <c r="H67">
        <f t="shared" si="5"/>
        <v>-32667</v>
      </c>
      <c r="I67">
        <f t="shared" si="6"/>
        <v>-32667</v>
      </c>
      <c r="J67">
        <f t="shared" si="7"/>
        <v>-27005</v>
      </c>
      <c r="K67">
        <f t="shared" si="8"/>
        <v>1067132889</v>
      </c>
      <c r="L67">
        <f t="shared" si="9"/>
        <v>729270025</v>
      </c>
      <c r="M67">
        <f t="shared" si="10"/>
        <v>26921</v>
      </c>
      <c r="N67">
        <f t="shared" si="15"/>
        <v>23170</v>
      </c>
      <c r="O67">
        <f t="shared" si="11"/>
        <v>23170</v>
      </c>
      <c r="P67">
        <f t="shared" si="12"/>
        <v>14188</v>
      </c>
    </row>
    <row r="68" spans="1:16" x14ac:dyDescent="0.25">
      <c r="A68">
        <f t="shared" si="13"/>
        <v>62</v>
      </c>
      <c r="B68">
        <f t="shared" si="14"/>
        <v>1.5500000000000012E-2</v>
      </c>
      <c r="C68">
        <f t="shared" si="0"/>
        <v>-0.9876883405951371</v>
      </c>
      <c r="D68">
        <f t="shared" si="1"/>
        <v>-0.77714596145696802</v>
      </c>
      <c r="E68">
        <f t="shared" si="2"/>
        <v>-0.9876883405951371</v>
      </c>
      <c r="F68">
        <f t="shared" si="3"/>
        <v>-0.77714596145696802</v>
      </c>
      <c r="G68">
        <f t="shared" si="4"/>
        <v>0.76757800507164509</v>
      </c>
      <c r="H68">
        <f t="shared" si="5"/>
        <v>-32365</v>
      </c>
      <c r="I68">
        <f t="shared" si="6"/>
        <v>-32365</v>
      </c>
      <c r="J68">
        <f t="shared" si="7"/>
        <v>-25466</v>
      </c>
      <c r="K68">
        <f t="shared" si="8"/>
        <v>1047493225</v>
      </c>
      <c r="L68">
        <f t="shared" si="9"/>
        <v>648517156</v>
      </c>
      <c r="M68">
        <f t="shared" si="10"/>
        <v>25152</v>
      </c>
      <c r="N68">
        <f t="shared" si="15"/>
        <v>23170</v>
      </c>
      <c r="O68">
        <f t="shared" si="11"/>
        <v>23170</v>
      </c>
      <c r="P68">
        <f t="shared" si="12"/>
        <v>14188</v>
      </c>
    </row>
    <row r="69" spans="1:16" x14ac:dyDescent="0.25">
      <c r="A69">
        <f t="shared" si="13"/>
        <v>63</v>
      </c>
      <c r="B69">
        <f t="shared" si="14"/>
        <v>1.5750000000000011E-2</v>
      </c>
      <c r="C69">
        <f t="shared" si="0"/>
        <v>-0.97236992039767589</v>
      </c>
      <c r="D69">
        <f t="shared" si="1"/>
        <v>-0.72537437101228541</v>
      </c>
      <c r="E69">
        <f t="shared" si="2"/>
        <v>-0.97236992039767589</v>
      </c>
      <c r="F69">
        <f t="shared" si="3"/>
        <v>-0.72537437101228541</v>
      </c>
      <c r="G69">
        <f t="shared" si="4"/>
        <v>0.70533221939973023</v>
      </c>
      <c r="H69">
        <f t="shared" si="5"/>
        <v>-31863</v>
      </c>
      <c r="I69">
        <f t="shared" si="6"/>
        <v>-31863</v>
      </c>
      <c r="J69">
        <f t="shared" si="7"/>
        <v>-23770</v>
      </c>
      <c r="K69">
        <f t="shared" si="8"/>
        <v>1015250769</v>
      </c>
      <c r="L69">
        <f t="shared" si="9"/>
        <v>565012900</v>
      </c>
      <c r="M69">
        <f t="shared" si="10"/>
        <v>23113</v>
      </c>
      <c r="N69">
        <f t="shared" si="15"/>
        <v>23170</v>
      </c>
      <c r="O69">
        <f t="shared" si="11"/>
        <v>23170</v>
      </c>
      <c r="P69">
        <f t="shared" si="12"/>
        <v>14188</v>
      </c>
    </row>
    <row r="70" spans="1:16" x14ac:dyDescent="0.25">
      <c r="A70">
        <f t="shared" si="13"/>
        <v>64</v>
      </c>
      <c r="B70">
        <f t="shared" si="14"/>
        <v>1.6000000000000011E-2</v>
      </c>
      <c r="C70">
        <f t="shared" si="0"/>
        <v>-0.95105651629515253</v>
      </c>
      <c r="D70">
        <f t="shared" si="1"/>
        <v>-0.66913060635885546</v>
      </c>
      <c r="E70">
        <f t="shared" si="2"/>
        <v>-0.95105651629515253</v>
      </c>
      <c r="F70">
        <f t="shared" si="3"/>
        <v>-0.66913060635885546</v>
      </c>
      <c r="G70">
        <f t="shared" si="4"/>
        <v>0.63638102343011616</v>
      </c>
      <c r="H70">
        <f t="shared" si="5"/>
        <v>-31164</v>
      </c>
      <c r="I70">
        <f t="shared" si="6"/>
        <v>-31165</v>
      </c>
      <c r="J70">
        <f t="shared" si="7"/>
        <v>-21927</v>
      </c>
      <c r="K70">
        <f t="shared" si="8"/>
        <v>971257225</v>
      </c>
      <c r="L70">
        <f t="shared" si="9"/>
        <v>480793329</v>
      </c>
      <c r="M70">
        <f t="shared" si="10"/>
        <v>20854</v>
      </c>
      <c r="N70">
        <f t="shared" si="15"/>
        <v>23170</v>
      </c>
      <c r="O70">
        <f t="shared" si="11"/>
        <v>23170</v>
      </c>
      <c r="P70">
        <f t="shared" si="12"/>
        <v>14188</v>
      </c>
    </row>
    <row r="71" spans="1:16" x14ac:dyDescent="0.25">
      <c r="A71">
        <f t="shared" si="13"/>
        <v>65</v>
      </c>
      <c r="B71">
        <f t="shared" si="14"/>
        <v>1.6250000000000011E-2</v>
      </c>
      <c r="C71">
        <f t="shared" ref="C71:C134" si="16">SIN(2*PI()*$C$4*B71)</f>
        <v>-0.9238795325112853</v>
      </c>
      <c r="D71">
        <f t="shared" ref="D71:D134" si="17">SIN(2*PI()*$C$4*B71+$C$3*PI()/180)</f>
        <v>-0.60876142900871744</v>
      </c>
      <c r="E71">
        <f t="shared" ref="E71:E134" si="18">C71*$C$1</f>
        <v>-0.9238795325112853</v>
      </c>
      <c r="F71">
        <f t="shared" ref="F71:F134" si="19">D71*$C$2</f>
        <v>-0.60876142900871744</v>
      </c>
      <c r="G71">
        <f t="shared" ref="G71:G134" si="20">E71*F71</f>
        <v>0.56242222444347589</v>
      </c>
      <c r="H71">
        <f t="shared" ref="H71:H134" si="21">IF(C71&gt;0,ROUND(C71*$F$2,0),ROUND(C71*$F$1,0))</f>
        <v>-30274</v>
      </c>
      <c r="I71">
        <f t="shared" ref="I71:I134" si="22">IF(E71&gt;0,_xlfn.FLOOR.MATH(E71*$F$2),_xlfn.FLOOR.MATH(E71*$F$1))</f>
        <v>-30274</v>
      </c>
      <c r="J71">
        <f t="shared" ref="J71:J134" si="23">IF(F71&gt;0,_xlfn.FLOOR.MATH(F71*$F$2),_xlfn.FLOOR.MATH(F71*$F$1))</f>
        <v>-19948</v>
      </c>
      <c r="K71">
        <f t="shared" ref="K71:K134" si="24">_xlfn.FLOOR.MATH(I71*I71)</f>
        <v>916515076</v>
      </c>
      <c r="L71">
        <f t="shared" ref="L71:L134" si="25">_xlfn.FLOOR.MATH(J71*J71)</f>
        <v>397922704</v>
      </c>
      <c r="M71">
        <f t="shared" ref="M71:M134" si="26">_xlfn.FLOOR.MATH((I71*J71)/$F$1)</f>
        <v>18429</v>
      </c>
      <c r="N71">
        <f t="shared" ref="N71:N134" si="27">_xlfn.FLOOR.MATH(SQRT(SUM(K71:K230)/160))</f>
        <v>23170</v>
      </c>
      <c r="O71">
        <f t="shared" ref="O71:O134" si="28">_xlfn.FLOOR.MATH(SQRT(SUM(L71:L150)/$F$3))</f>
        <v>23170</v>
      </c>
      <c r="P71">
        <f t="shared" ref="P71:P134" si="29">_xlfn.FLOOR.MATH(SUM(M71:M150)/$F$3)</f>
        <v>14188</v>
      </c>
    </row>
    <row r="72" spans="1:16" x14ac:dyDescent="0.25">
      <c r="A72">
        <f t="shared" ref="A72:A135" si="30">A71+1</f>
        <v>66</v>
      </c>
      <c r="B72">
        <f t="shared" ref="B72:B135" si="31">B71+(1/4000)</f>
        <v>1.6500000000000011E-2</v>
      </c>
      <c r="C72">
        <f t="shared" si="16"/>
        <v>-0.89100652418836634</v>
      </c>
      <c r="D72">
        <f t="shared" si="17"/>
        <v>-0.54463903501502409</v>
      </c>
      <c r="E72">
        <f t="shared" si="18"/>
        <v>-0.89100652418836634</v>
      </c>
      <c r="F72">
        <f t="shared" si="19"/>
        <v>-0.54463903501502409</v>
      </c>
      <c r="G72">
        <f t="shared" si="20"/>
        <v>0.48527693352604256</v>
      </c>
      <c r="H72">
        <f t="shared" si="21"/>
        <v>-29197</v>
      </c>
      <c r="I72">
        <f t="shared" si="22"/>
        <v>-29197</v>
      </c>
      <c r="J72">
        <f t="shared" si="23"/>
        <v>-17847</v>
      </c>
      <c r="K72">
        <f t="shared" si="24"/>
        <v>852464809</v>
      </c>
      <c r="L72">
        <f t="shared" si="25"/>
        <v>318515409</v>
      </c>
      <c r="M72">
        <f t="shared" si="26"/>
        <v>15902</v>
      </c>
      <c r="N72">
        <f t="shared" si="27"/>
        <v>23170</v>
      </c>
      <c r="O72">
        <f t="shared" si="28"/>
        <v>23170</v>
      </c>
      <c r="P72">
        <f t="shared" si="29"/>
        <v>14188</v>
      </c>
    </row>
    <row r="73" spans="1:16" x14ac:dyDescent="0.25">
      <c r="A73">
        <f t="shared" si="30"/>
        <v>67</v>
      </c>
      <c r="B73">
        <f t="shared" si="31"/>
        <v>1.6750000000000011E-2</v>
      </c>
      <c r="C73">
        <f t="shared" si="16"/>
        <v>-0.85264016435409029</v>
      </c>
      <c r="D73">
        <f t="shared" si="17"/>
        <v>-0.47715876025960485</v>
      </c>
      <c r="E73">
        <f t="shared" si="18"/>
        <v>-0.85264016435409029</v>
      </c>
      <c r="F73">
        <f t="shared" si="19"/>
        <v>-0.47715876025960485</v>
      </c>
      <c r="G73">
        <f t="shared" si="20"/>
        <v>0.40684472377074343</v>
      </c>
      <c r="H73">
        <f t="shared" si="21"/>
        <v>-27939</v>
      </c>
      <c r="I73">
        <f t="shared" si="22"/>
        <v>-27940</v>
      </c>
      <c r="J73">
        <f t="shared" si="23"/>
        <v>-15636</v>
      </c>
      <c r="K73">
        <f t="shared" si="24"/>
        <v>780643600</v>
      </c>
      <c r="L73">
        <f t="shared" si="25"/>
        <v>244484496</v>
      </c>
      <c r="M73">
        <f t="shared" si="26"/>
        <v>13332</v>
      </c>
      <c r="N73">
        <f t="shared" si="27"/>
        <v>23170</v>
      </c>
      <c r="O73">
        <f t="shared" si="28"/>
        <v>23170</v>
      </c>
      <c r="P73">
        <f t="shared" si="29"/>
        <v>14188</v>
      </c>
    </row>
    <row r="74" spans="1:16" x14ac:dyDescent="0.25">
      <c r="A74">
        <f t="shared" si="30"/>
        <v>68</v>
      </c>
      <c r="B74">
        <f t="shared" si="31"/>
        <v>1.7000000000000012E-2</v>
      </c>
      <c r="C74">
        <f t="shared" si="16"/>
        <v>-0.80901699437494545</v>
      </c>
      <c r="D74">
        <f t="shared" si="17"/>
        <v>-0.40673664307579688</v>
      </c>
      <c r="E74">
        <f t="shared" si="18"/>
        <v>-0.80901699437494545</v>
      </c>
      <c r="F74">
        <f t="shared" si="19"/>
        <v>-0.40673664307579688</v>
      </c>
      <c r="G74">
        <f t="shared" si="20"/>
        <v>0.32905685648333616</v>
      </c>
      <c r="H74">
        <f t="shared" si="21"/>
        <v>-26510</v>
      </c>
      <c r="I74">
        <f t="shared" si="22"/>
        <v>-26510</v>
      </c>
      <c r="J74">
        <f t="shared" si="23"/>
        <v>-13328</v>
      </c>
      <c r="K74">
        <f t="shared" si="24"/>
        <v>702780100</v>
      </c>
      <c r="L74">
        <f t="shared" si="25"/>
        <v>177635584</v>
      </c>
      <c r="M74">
        <f t="shared" si="26"/>
        <v>10782</v>
      </c>
      <c r="N74">
        <f t="shared" si="27"/>
        <v>23170</v>
      </c>
      <c r="O74">
        <f t="shared" si="28"/>
        <v>23170</v>
      </c>
      <c r="P74">
        <f t="shared" si="29"/>
        <v>14188</v>
      </c>
    </row>
    <row r="75" spans="1:16" x14ac:dyDescent="0.25">
      <c r="A75">
        <f t="shared" si="30"/>
        <v>69</v>
      </c>
      <c r="B75">
        <f t="shared" si="31"/>
        <v>1.7250000000000012E-2</v>
      </c>
      <c r="C75">
        <f t="shared" si="16"/>
        <v>-0.76040596560002849</v>
      </c>
      <c r="D75">
        <f t="shared" si="17"/>
        <v>-0.33380685923376713</v>
      </c>
      <c r="E75">
        <f t="shared" si="18"/>
        <v>-0.76040596560002849</v>
      </c>
      <c r="F75">
        <f t="shared" si="19"/>
        <v>-0.33380685923376713</v>
      </c>
      <c r="G75">
        <f t="shared" si="20"/>
        <v>0.2538287271195655</v>
      </c>
      <c r="H75">
        <f t="shared" si="21"/>
        <v>-24917</v>
      </c>
      <c r="I75">
        <f t="shared" si="22"/>
        <v>-24917</v>
      </c>
      <c r="J75">
        <f t="shared" si="23"/>
        <v>-10939</v>
      </c>
      <c r="K75">
        <f t="shared" si="24"/>
        <v>620856889</v>
      </c>
      <c r="L75">
        <f t="shared" si="25"/>
        <v>119661721</v>
      </c>
      <c r="M75">
        <f t="shared" si="26"/>
        <v>8318</v>
      </c>
      <c r="N75">
        <f t="shared" si="27"/>
        <v>23170</v>
      </c>
      <c r="O75">
        <f t="shared" si="28"/>
        <v>23170</v>
      </c>
      <c r="P75">
        <f t="shared" si="29"/>
        <v>14188</v>
      </c>
    </row>
    <row r="76" spans="1:16" x14ac:dyDescent="0.25">
      <c r="A76">
        <f t="shared" si="30"/>
        <v>70</v>
      </c>
      <c r="B76">
        <f t="shared" si="31"/>
        <v>1.7500000000000012E-2</v>
      </c>
      <c r="C76">
        <f t="shared" si="16"/>
        <v>-0.70710678118654458</v>
      </c>
      <c r="D76">
        <f t="shared" si="17"/>
        <v>-0.25881904510251641</v>
      </c>
      <c r="E76">
        <f t="shared" si="18"/>
        <v>-0.70710678118654458</v>
      </c>
      <c r="F76">
        <f t="shared" si="19"/>
        <v>-0.25881904510251641</v>
      </c>
      <c r="G76">
        <f t="shared" si="20"/>
        <v>0.1830127018922155</v>
      </c>
      <c r="H76">
        <f t="shared" si="21"/>
        <v>-23170</v>
      </c>
      <c r="I76">
        <f t="shared" si="22"/>
        <v>-23171</v>
      </c>
      <c r="J76">
        <f t="shared" si="23"/>
        <v>-8481</v>
      </c>
      <c r="K76">
        <f t="shared" si="24"/>
        <v>536895241</v>
      </c>
      <c r="L76">
        <f t="shared" si="25"/>
        <v>71927361</v>
      </c>
      <c r="M76">
        <f t="shared" si="26"/>
        <v>5997</v>
      </c>
      <c r="N76">
        <f t="shared" si="27"/>
        <v>23170</v>
      </c>
      <c r="O76">
        <f t="shared" si="28"/>
        <v>23170</v>
      </c>
      <c r="P76">
        <f t="shared" si="29"/>
        <v>14188</v>
      </c>
    </row>
    <row r="77" spans="1:16" x14ac:dyDescent="0.25">
      <c r="A77">
        <f t="shared" si="30"/>
        <v>71</v>
      </c>
      <c r="B77">
        <f t="shared" si="31"/>
        <v>1.7750000000000012E-2</v>
      </c>
      <c r="C77">
        <f t="shared" si="16"/>
        <v>-0.64944804833018077</v>
      </c>
      <c r="D77">
        <f t="shared" si="17"/>
        <v>-0.18223552549214347</v>
      </c>
      <c r="E77">
        <f t="shared" si="18"/>
        <v>-0.64944804833018077</v>
      </c>
      <c r="F77">
        <f t="shared" si="19"/>
        <v>-0.18223552549214347</v>
      </c>
      <c r="G77">
        <f t="shared" si="20"/>
        <v>0.11835250636729748</v>
      </c>
      <c r="H77">
        <f t="shared" si="21"/>
        <v>-21281</v>
      </c>
      <c r="I77">
        <f t="shared" si="22"/>
        <v>-21282</v>
      </c>
      <c r="J77">
        <f t="shared" si="23"/>
        <v>-5972</v>
      </c>
      <c r="K77">
        <f t="shared" si="24"/>
        <v>452923524</v>
      </c>
      <c r="L77">
        <f t="shared" si="25"/>
        <v>35664784</v>
      </c>
      <c r="M77">
        <f t="shared" si="26"/>
        <v>3878</v>
      </c>
      <c r="N77">
        <f t="shared" si="27"/>
        <v>23170</v>
      </c>
      <c r="O77">
        <f t="shared" si="28"/>
        <v>23170</v>
      </c>
      <c r="P77">
        <f t="shared" si="29"/>
        <v>14188</v>
      </c>
    </row>
    <row r="78" spans="1:16" x14ac:dyDescent="0.25">
      <c r="A78">
        <f t="shared" si="30"/>
        <v>72</v>
      </c>
      <c r="B78">
        <f t="shared" si="31"/>
        <v>1.8000000000000013E-2</v>
      </c>
      <c r="C78">
        <f t="shared" si="16"/>
        <v>-0.5877852522924697</v>
      </c>
      <c r="D78">
        <f t="shared" si="17"/>
        <v>-0.104528463267649</v>
      </c>
      <c r="E78">
        <f t="shared" si="18"/>
        <v>-0.5877852522924697</v>
      </c>
      <c r="F78">
        <f t="shared" si="19"/>
        <v>-0.104528463267649</v>
      </c>
      <c r="G78">
        <f t="shared" si="20"/>
        <v>6.144028915351922E-2</v>
      </c>
      <c r="H78">
        <f t="shared" si="21"/>
        <v>-19261</v>
      </c>
      <c r="I78">
        <f t="shared" si="22"/>
        <v>-19261</v>
      </c>
      <c r="J78">
        <f t="shared" si="23"/>
        <v>-3426</v>
      </c>
      <c r="K78">
        <f t="shared" si="24"/>
        <v>370986121</v>
      </c>
      <c r="L78">
        <f t="shared" si="25"/>
        <v>11737476</v>
      </c>
      <c r="M78">
        <f t="shared" si="26"/>
        <v>2013</v>
      </c>
      <c r="N78">
        <f t="shared" si="27"/>
        <v>23170</v>
      </c>
      <c r="O78">
        <f t="shared" si="28"/>
        <v>23170</v>
      </c>
      <c r="P78">
        <f t="shared" si="29"/>
        <v>14188</v>
      </c>
    </row>
    <row r="79" spans="1:16" x14ac:dyDescent="0.25">
      <c r="A79">
        <f t="shared" si="30"/>
        <v>73</v>
      </c>
      <c r="B79">
        <f t="shared" si="31"/>
        <v>1.8250000000000013E-2</v>
      </c>
      <c r="C79">
        <f t="shared" si="16"/>
        <v>-0.52249856471594569</v>
      </c>
      <c r="D79">
        <f t="shared" si="17"/>
        <v>-2.6176948307869104E-2</v>
      </c>
      <c r="E79">
        <f t="shared" si="18"/>
        <v>-0.52249856471594569</v>
      </c>
      <c r="F79">
        <f t="shared" si="19"/>
        <v>-2.6176948307869104E-2</v>
      </c>
      <c r="G79">
        <f t="shared" si="20"/>
        <v>1.367741791950511E-2</v>
      </c>
      <c r="H79">
        <f t="shared" si="21"/>
        <v>-17121</v>
      </c>
      <c r="I79">
        <f t="shared" si="22"/>
        <v>-17122</v>
      </c>
      <c r="J79">
        <f t="shared" si="23"/>
        <v>-858</v>
      </c>
      <c r="K79">
        <f t="shared" si="24"/>
        <v>293162884</v>
      </c>
      <c r="L79">
        <f t="shared" si="25"/>
        <v>736164</v>
      </c>
      <c r="M79">
        <f t="shared" si="26"/>
        <v>448</v>
      </c>
      <c r="N79">
        <f t="shared" si="27"/>
        <v>23170</v>
      </c>
      <c r="O79">
        <f t="shared" si="28"/>
        <v>23170</v>
      </c>
      <c r="P79">
        <f t="shared" si="29"/>
        <v>14188</v>
      </c>
    </row>
    <row r="80" spans="1:16" x14ac:dyDescent="0.25">
      <c r="A80">
        <f t="shared" si="30"/>
        <v>74</v>
      </c>
      <c r="B80">
        <f t="shared" si="31"/>
        <v>1.8500000000000013E-2</v>
      </c>
      <c r="C80">
        <f t="shared" si="16"/>
        <v>-0.45399049973954303</v>
      </c>
      <c r="D80">
        <f t="shared" si="17"/>
        <v>5.2335956242948317E-2</v>
      </c>
      <c r="E80">
        <f t="shared" si="18"/>
        <v>-0.45399049973954303</v>
      </c>
      <c r="F80">
        <f t="shared" si="19"/>
        <v>5.2335956242948317E-2</v>
      </c>
      <c r="G80">
        <f t="shared" si="20"/>
        <v>-2.3760026929082963E-2</v>
      </c>
      <c r="H80">
        <f t="shared" si="21"/>
        <v>-14876</v>
      </c>
      <c r="I80">
        <f t="shared" si="22"/>
        <v>-14877</v>
      </c>
      <c r="J80">
        <f t="shared" si="23"/>
        <v>1714</v>
      </c>
      <c r="K80">
        <f t="shared" si="24"/>
        <v>221325129</v>
      </c>
      <c r="L80">
        <f t="shared" si="25"/>
        <v>2937796</v>
      </c>
      <c r="M80">
        <f t="shared" si="26"/>
        <v>-779</v>
      </c>
      <c r="N80">
        <f t="shared" si="27"/>
        <v>23170</v>
      </c>
      <c r="O80">
        <f t="shared" si="28"/>
        <v>23170</v>
      </c>
      <c r="P80">
        <f t="shared" si="29"/>
        <v>14188</v>
      </c>
    </row>
    <row r="81" spans="1:16" x14ac:dyDescent="0.25">
      <c r="A81">
        <f t="shared" si="30"/>
        <v>75</v>
      </c>
      <c r="B81">
        <f t="shared" si="31"/>
        <v>1.8750000000000013E-2</v>
      </c>
      <c r="C81">
        <f t="shared" si="16"/>
        <v>-0.38268343236508628</v>
      </c>
      <c r="D81">
        <f t="shared" si="17"/>
        <v>0.1305261922200556</v>
      </c>
      <c r="E81">
        <f t="shared" si="18"/>
        <v>-0.38268343236508628</v>
      </c>
      <c r="F81">
        <f t="shared" si="19"/>
        <v>0.1305261922200556</v>
      </c>
      <c r="G81">
        <f t="shared" si="20"/>
        <v>-4.9950211252315899E-2</v>
      </c>
      <c r="H81">
        <f t="shared" si="21"/>
        <v>-12540</v>
      </c>
      <c r="I81">
        <f t="shared" si="22"/>
        <v>-12540</v>
      </c>
      <c r="J81">
        <f t="shared" si="23"/>
        <v>4276</v>
      </c>
      <c r="K81">
        <f t="shared" si="24"/>
        <v>157251600</v>
      </c>
      <c r="L81">
        <f t="shared" si="25"/>
        <v>18284176</v>
      </c>
      <c r="M81">
        <f t="shared" si="26"/>
        <v>-1637</v>
      </c>
      <c r="N81">
        <f t="shared" si="27"/>
        <v>23170</v>
      </c>
      <c r="O81">
        <f t="shared" si="28"/>
        <v>23170</v>
      </c>
      <c r="P81">
        <f t="shared" si="29"/>
        <v>14188</v>
      </c>
    </row>
    <row r="82" spans="1:16" x14ac:dyDescent="0.25">
      <c r="A82">
        <f t="shared" si="30"/>
        <v>76</v>
      </c>
      <c r="B82">
        <f t="shared" si="31"/>
        <v>1.9000000000000013E-2</v>
      </c>
      <c r="C82">
        <f t="shared" si="16"/>
        <v>-0.3090169943749434</v>
      </c>
      <c r="D82">
        <f t="shared" si="17"/>
        <v>0.20791169081776373</v>
      </c>
      <c r="E82">
        <f t="shared" si="18"/>
        <v>-0.3090169943749434</v>
      </c>
      <c r="F82">
        <f t="shared" si="19"/>
        <v>0.20791169081776373</v>
      </c>
      <c r="G82">
        <f t="shared" si="20"/>
        <v>-6.424824579191786E-2</v>
      </c>
      <c r="H82">
        <f t="shared" si="21"/>
        <v>-10126</v>
      </c>
      <c r="I82">
        <f t="shared" si="22"/>
        <v>-10126</v>
      </c>
      <c r="J82">
        <f t="shared" si="23"/>
        <v>6812</v>
      </c>
      <c r="K82">
        <f t="shared" si="24"/>
        <v>102535876</v>
      </c>
      <c r="L82">
        <f t="shared" si="25"/>
        <v>46403344</v>
      </c>
      <c r="M82">
        <f t="shared" si="26"/>
        <v>-2106</v>
      </c>
      <c r="N82">
        <f t="shared" si="27"/>
        <v>23170</v>
      </c>
      <c r="O82">
        <f t="shared" si="28"/>
        <v>23170</v>
      </c>
      <c r="P82">
        <f t="shared" si="29"/>
        <v>14188</v>
      </c>
    </row>
    <row r="83" spans="1:16" x14ac:dyDescent="0.25">
      <c r="A83">
        <f t="shared" si="30"/>
        <v>77</v>
      </c>
      <c r="B83">
        <f t="shared" si="31"/>
        <v>1.9250000000000014E-2</v>
      </c>
      <c r="C83">
        <f t="shared" si="16"/>
        <v>-0.23344536385590089</v>
      </c>
      <c r="D83">
        <f t="shared" si="17"/>
        <v>0.28401534470392736</v>
      </c>
      <c r="E83">
        <f t="shared" si="18"/>
        <v>-0.23344536385590089</v>
      </c>
      <c r="F83">
        <f t="shared" si="19"/>
        <v>0.28401534470392736</v>
      </c>
      <c r="G83">
        <f t="shared" si="20"/>
        <v>-6.6302065485067438E-2</v>
      </c>
      <c r="H83">
        <f t="shared" si="21"/>
        <v>-7650</v>
      </c>
      <c r="I83">
        <f t="shared" si="22"/>
        <v>-7650</v>
      </c>
      <c r="J83">
        <f t="shared" si="23"/>
        <v>9306</v>
      </c>
      <c r="K83">
        <f t="shared" si="24"/>
        <v>58522500</v>
      </c>
      <c r="L83">
        <f t="shared" si="25"/>
        <v>86601636</v>
      </c>
      <c r="M83">
        <f t="shared" si="26"/>
        <v>-2173</v>
      </c>
      <c r="N83">
        <f t="shared" si="27"/>
        <v>23170</v>
      </c>
      <c r="O83">
        <f t="shared" si="28"/>
        <v>23170</v>
      </c>
      <c r="P83">
        <f t="shared" si="29"/>
        <v>14188</v>
      </c>
    </row>
    <row r="84" spans="1:16" x14ac:dyDescent="0.25">
      <c r="A84">
        <f t="shared" si="30"/>
        <v>78</v>
      </c>
      <c r="B84">
        <f t="shared" si="31"/>
        <v>1.9500000000000014E-2</v>
      </c>
      <c r="C84">
        <f t="shared" si="16"/>
        <v>-0.15643446504022671</v>
      </c>
      <c r="D84">
        <f t="shared" si="17"/>
        <v>0.35836794954530443</v>
      </c>
      <c r="E84">
        <f t="shared" si="18"/>
        <v>-0.15643446504022671</v>
      </c>
      <c r="F84">
        <f t="shared" si="19"/>
        <v>0.35836794954530443</v>
      </c>
      <c r="G84">
        <f t="shared" si="20"/>
        <v>-5.6061098474682651E-2</v>
      </c>
      <c r="H84">
        <f t="shared" si="21"/>
        <v>-5126</v>
      </c>
      <c r="I84">
        <f t="shared" si="22"/>
        <v>-5127</v>
      </c>
      <c r="J84">
        <f t="shared" si="23"/>
        <v>11742</v>
      </c>
      <c r="K84">
        <f t="shared" si="24"/>
        <v>26286129</v>
      </c>
      <c r="L84">
        <f t="shared" si="25"/>
        <v>137874564</v>
      </c>
      <c r="M84">
        <f t="shared" si="26"/>
        <v>-1838</v>
      </c>
      <c r="N84">
        <f t="shared" si="27"/>
        <v>23170</v>
      </c>
      <c r="O84">
        <f t="shared" si="28"/>
        <v>23170</v>
      </c>
      <c r="P84">
        <f t="shared" si="29"/>
        <v>14188</v>
      </c>
    </row>
    <row r="85" spans="1:16" x14ac:dyDescent="0.25">
      <c r="A85">
        <f t="shared" si="30"/>
        <v>79</v>
      </c>
      <c r="B85">
        <f t="shared" si="31"/>
        <v>1.9750000000000014E-2</v>
      </c>
      <c r="C85">
        <f t="shared" si="16"/>
        <v>-7.8459095727840322E-2</v>
      </c>
      <c r="D85">
        <f t="shared" si="17"/>
        <v>0.43051109680829958</v>
      </c>
      <c r="E85">
        <f t="shared" si="18"/>
        <v>-7.8459095727840322E-2</v>
      </c>
      <c r="F85">
        <f t="shared" si="19"/>
        <v>0.43051109680829958</v>
      </c>
      <c r="G85">
        <f t="shared" si="20"/>
        <v>-3.3777511356379908E-2</v>
      </c>
      <c r="H85">
        <f t="shared" si="21"/>
        <v>-2571</v>
      </c>
      <c r="I85">
        <f t="shared" si="22"/>
        <v>-2571</v>
      </c>
      <c r="J85">
        <f t="shared" si="23"/>
        <v>14106</v>
      </c>
      <c r="K85">
        <f t="shared" si="24"/>
        <v>6610041</v>
      </c>
      <c r="L85">
        <f t="shared" si="25"/>
        <v>198979236</v>
      </c>
      <c r="M85">
        <f t="shared" si="26"/>
        <v>-1107</v>
      </c>
      <c r="N85">
        <f t="shared" si="27"/>
        <v>23170</v>
      </c>
      <c r="O85">
        <f t="shared" si="28"/>
        <v>23170</v>
      </c>
      <c r="P85">
        <f t="shared" si="29"/>
        <v>14188</v>
      </c>
    </row>
    <row r="86" spans="1:16" x14ac:dyDescent="0.25">
      <c r="A86">
        <f t="shared" si="30"/>
        <v>80</v>
      </c>
      <c r="B86">
        <f t="shared" si="31"/>
        <v>2.0000000000000014E-2</v>
      </c>
      <c r="C86">
        <f t="shared" si="16"/>
        <v>4.1958624075189022E-15</v>
      </c>
      <c r="D86">
        <f t="shared" si="17"/>
        <v>0.50000000000000389</v>
      </c>
      <c r="E86">
        <f t="shared" si="18"/>
        <v>4.1958624075189022E-15</v>
      </c>
      <c r="F86">
        <f t="shared" si="19"/>
        <v>0.50000000000000389</v>
      </c>
      <c r="G86">
        <f t="shared" si="20"/>
        <v>2.0979312037594673E-15</v>
      </c>
      <c r="H86">
        <f t="shared" si="21"/>
        <v>0</v>
      </c>
      <c r="I86">
        <f t="shared" si="22"/>
        <v>0</v>
      </c>
      <c r="J86">
        <f t="shared" si="23"/>
        <v>16383</v>
      </c>
      <c r="K86">
        <f t="shared" si="24"/>
        <v>0</v>
      </c>
      <c r="L86">
        <f t="shared" si="25"/>
        <v>268402689</v>
      </c>
      <c r="M86">
        <f t="shared" si="26"/>
        <v>0</v>
      </c>
      <c r="N86">
        <f t="shared" si="27"/>
        <v>23170</v>
      </c>
      <c r="O86">
        <f t="shared" si="28"/>
        <v>23170</v>
      </c>
      <c r="P86">
        <f t="shared" si="29"/>
        <v>14188</v>
      </c>
    </row>
    <row r="87" spans="1:16" x14ac:dyDescent="0.25">
      <c r="A87">
        <f t="shared" si="30"/>
        <v>81</v>
      </c>
      <c r="B87">
        <f t="shared" si="31"/>
        <v>2.0250000000000015E-2</v>
      </c>
      <c r="C87">
        <f t="shared" si="16"/>
        <v>7.8459095727849565E-2</v>
      </c>
      <c r="D87">
        <f t="shared" si="17"/>
        <v>0.56640623692483683</v>
      </c>
      <c r="E87">
        <f t="shared" si="18"/>
        <v>7.8459095727849565E-2</v>
      </c>
      <c r="F87">
        <f t="shared" si="19"/>
        <v>0.56640623692483683</v>
      </c>
      <c r="G87">
        <f t="shared" si="20"/>
        <v>4.443972116373681E-2</v>
      </c>
      <c r="H87">
        <f t="shared" si="21"/>
        <v>2571</v>
      </c>
      <c r="I87">
        <f t="shared" si="22"/>
        <v>2570</v>
      </c>
      <c r="J87">
        <f t="shared" si="23"/>
        <v>18559</v>
      </c>
      <c r="K87">
        <f t="shared" si="24"/>
        <v>6604900</v>
      </c>
      <c r="L87">
        <f t="shared" si="25"/>
        <v>344436481</v>
      </c>
      <c r="M87">
        <f t="shared" si="26"/>
        <v>1455</v>
      </c>
      <c r="N87">
        <f t="shared" si="27"/>
        <v>23170</v>
      </c>
      <c r="O87">
        <f t="shared" si="28"/>
        <v>23170</v>
      </c>
      <c r="P87">
        <f t="shared" si="29"/>
        <v>14188</v>
      </c>
    </row>
    <row r="88" spans="1:16" x14ac:dyDescent="0.25">
      <c r="A88">
        <f t="shared" si="30"/>
        <v>82</v>
      </c>
      <c r="B88">
        <f t="shared" si="31"/>
        <v>2.0500000000000015E-2</v>
      </c>
      <c r="C88">
        <f t="shared" si="16"/>
        <v>0.15643446504023589</v>
      </c>
      <c r="D88">
        <f t="shared" si="17"/>
        <v>0.62932039104984161</v>
      </c>
      <c r="E88">
        <f t="shared" si="18"/>
        <v>0.15643446504023589</v>
      </c>
      <c r="F88">
        <f t="shared" si="19"/>
        <v>0.62932039104984161</v>
      </c>
      <c r="G88">
        <f t="shared" si="20"/>
        <v>9.8447398712794024E-2</v>
      </c>
      <c r="H88">
        <f t="shared" si="21"/>
        <v>5126</v>
      </c>
      <c r="I88">
        <f t="shared" si="22"/>
        <v>5125</v>
      </c>
      <c r="J88">
        <f t="shared" si="23"/>
        <v>20620</v>
      </c>
      <c r="K88">
        <f t="shared" si="24"/>
        <v>26265625</v>
      </c>
      <c r="L88">
        <f t="shared" si="25"/>
        <v>425184400</v>
      </c>
      <c r="M88">
        <f t="shared" si="26"/>
        <v>3225</v>
      </c>
      <c r="N88">
        <f t="shared" si="27"/>
        <v>23170</v>
      </c>
      <c r="O88">
        <f t="shared" si="28"/>
        <v>23170</v>
      </c>
      <c r="P88">
        <f t="shared" si="29"/>
        <v>14188</v>
      </c>
    </row>
    <row r="89" spans="1:16" x14ac:dyDescent="0.25">
      <c r="A89">
        <f t="shared" si="30"/>
        <v>83</v>
      </c>
      <c r="B89">
        <f t="shared" si="31"/>
        <v>2.0750000000000015E-2</v>
      </c>
      <c r="C89">
        <f t="shared" si="16"/>
        <v>0.23344536385590992</v>
      </c>
      <c r="D89">
        <f t="shared" si="17"/>
        <v>0.68835457569375758</v>
      </c>
      <c r="E89">
        <f t="shared" si="18"/>
        <v>0.23344536385590992</v>
      </c>
      <c r="F89">
        <f t="shared" si="19"/>
        <v>0.68835457569375758</v>
      </c>
      <c r="G89">
        <f t="shared" si="20"/>
        <v>0.16069318438470973</v>
      </c>
      <c r="H89">
        <f t="shared" si="21"/>
        <v>7649</v>
      </c>
      <c r="I89">
        <f t="shared" si="22"/>
        <v>7649</v>
      </c>
      <c r="J89">
        <f t="shared" si="23"/>
        <v>22555</v>
      </c>
      <c r="K89">
        <f t="shared" si="24"/>
        <v>58507201</v>
      </c>
      <c r="L89">
        <f t="shared" si="25"/>
        <v>508728025</v>
      </c>
      <c r="M89">
        <f t="shared" si="26"/>
        <v>5264</v>
      </c>
      <c r="N89">
        <f t="shared" si="27"/>
        <v>23170</v>
      </c>
      <c r="O89">
        <f t="shared" si="28"/>
        <v>23170</v>
      </c>
      <c r="P89">
        <f t="shared" si="29"/>
        <v>14188</v>
      </c>
    </row>
    <row r="90" spans="1:16" x14ac:dyDescent="0.25">
      <c r="A90">
        <f t="shared" si="30"/>
        <v>84</v>
      </c>
      <c r="B90">
        <f t="shared" si="31"/>
        <v>2.1000000000000015E-2</v>
      </c>
      <c r="C90">
        <f t="shared" si="16"/>
        <v>0.30901699437495223</v>
      </c>
      <c r="D90">
        <f t="shared" si="17"/>
        <v>0.7431448254773978</v>
      </c>
      <c r="E90">
        <f t="shared" si="18"/>
        <v>0.30901699437495223</v>
      </c>
      <c r="F90">
        <f t="shared" si="19"/>
        <v>0.7431448254773978</v>
      </c>
      <c r="G90">
        <f t="shared" si="20"/>
        <v>0.22964438035432388</v>
      </c>
      <c r="H90">
        <f t="shared" si="21"/>
        <v>10126</v>
      </c>
      <c r="I90">
        <f t="shared" si="22"/>
        <v>10125</v>
      </c>
      <c r="J90">
        <f t="shared" si="23"/>
        <v>24350</v>
      </c>
      <c r="K90">
        <f t="shared" si="24"/>
        <v>102515625</v>
      </c>
      <c r="L90">
        <f t="shared" si="25"/>
        <v>592922500</v>
      </c>
      <c r="M90">
        <f t="shared" si="26"/>
        <v>7523</v>
      </c>
      <c r="N90">
        <f t="shared" si="27"/>
        <v>23170</v>
      </c>
      <c r="O90">
        <f t="shared" si="28"/>
        <v>23170</v>
      </c>
      <c r="P90">
        <f t="shared" si="29"/>
        <v>14188</v>
      </c>
    </row>
    <row r="91" spans="1:16" x14ac:dyDescent="0.25">
      <c r="A91">
        <f t="shared" si="30"/>
        <v>85</v>
      </c>
      <c r="B91">
        <f t="shared" si="31"/>
        <v>2.1250000000000015E-2</v>
      </c>
      <c r="C91">
        <f t="shared" si="16"/>
        <v>0.38268343236509406</v>
      </c>
      <c r="D91">
        <f t="shared" si="17"/>
        <v>0.79335334029123816</v>
      </c>
      <c r="E91">
        <f t="shared" si="18"/>
        <v>0.38268343236509406</v>
      </c>
      <c r="F91">
        <f t="shared" si="19"/>
        <v>0.79335334029123816</v>
      </c>
      <c r="G91">
        <f t="shared" si="20"/>
        <v>0.30360317934096348</v>
      </c>
      <c r="H91">
        <f t="shared" si="21"/>
        <v>12539</v>
      </c>
      <c r="I91">
        <f t="shared" si="22"/>
        <v>12539</v>
      </c>
      <c r="J91">
        <f t="shared" si="23"/>
        <v>25995</v>
      </c>
      <c r="K91">
        <f t="shared" si="24"/>
        <v>157226521</v>
      </c>
      <c r="L91">
        <f t="shared" si="25"/>
        <v>675740025</v>
      </c>
      <c r="M91">
        <f t="shared" si="26"/>
        <v>9947</v>
      </c>
      <c r="N91">
        <f t="shared" si="27"/>
        <v>23170</v>
      </c>
      <c r="O91">
        <f t="shared" si="28"/>
        <v>23170</v>
      </c>
      <c r="P91">
        <f t="shared" si="29"/>
        <v>14188</v>
      </c>
    </row>
    <row r="92" spans="1:16" x14ac:dyDescent="0.25">
      <c r="A92">
        <f t="shared" si="30"/>
        <v>86</v>
      </c>
      <c r="B92">
        <f t="shared" si="31"/>
        <v>2.1500000000000016E-2</v>
      </c>
      <c r="C92">
        <f t="shared" si="16"/>
        <v>0.4539904997395513</v>
      </c>
      <c r="D92">
        <f t="shared" si="17"/>
        <v>0.83867056794542694</v>
      </c>
      <c r="E92">
        <f t="shared" si="18"/>
        <v>0.4539904997395513</v>
      </c>
      <c r="F92">
        <f t="shared" si="19"/>
        <v>0.83867056794542694</v>
      </c>
      <c r="G92">
        <f t="shared" si="20"/>
        <v>0.3807484702583977</v>
      </c>
      <c r="H92">
        <f t="shared" si="21"/>
        <v>14876</v>
      </c>
      <c r="I92">
        <f t="shared" si="22"/>
        <v>14875</v>
      </c>
      <c r="J92">
        <f t="shared" si="23"/>
        <v>27480</v>
      </c>
      <c r="K92">
        <f t="shared" si="24"/>
        <v>221265625</v>
      </c>
      <c r="L92">
        <f t="shared" si="25"/>
        <v>755150400</v>
      </c>
      <c r="M92">
        <f t="shared" si="26"/>
        <v>12474</v>
      </c>
      <c r="N92">
        <f t="shared" si="27"/>
        <v>23170</v>
      </c>
      <c r="O92">
        <f t="shared" si="28"/>
        <v>23170</v>
      </c>
      <c r="P92">
        <f t="shared" si="29"/>
        <v>14188</v>
      </c>
    </row>
    <row r="93" spans="1:16" x14ac:dyDescent="0.25">
      <c r="A93">
        <f t="shared" si="30"/>
        <v>87</v>
      </c>
      <c r="B93">
        <f t="shared" si="31"/>
        <v>2.1750000000000016E-2</v>
      </c>
      <c r="C93">
        <f t="shared" si="16"/>
        <v>0.5224985647159528</v>
      </c>
      <c r="D93">
        <f t="shared" si="17"/>
        <v>0.87881711266196771</v>
      </c>
      <c r="E93">
        <f t="shared" si="18"/>
        <v>0.5224985647159528</v>
      </c>
      <c r="F93">
        <f t="shared" si="19"/>
        <v>0.87881711266196771</v>
      </c>
      <c r="G93">
        <f t="shared" si="20"/>
        <v>0.45918068001369594</v>
      </c>
      <c r="H93">
        <f t="shared" si="21"/>
        <v>17121</v>
      </c>
      <c r="I93">
        <f t="shared" si="22"/>
        <v>17120</v>
      </c>
      <c r="J93">
        <f t="shared" si="23"/>
        <v>28796</v>
      </c>
      <c r="K93">
        <f t="shared" si="24"/>
        <v>293094400</v>
      </c>
      <c r="L93">
        <f t="shared" si="25"/>
        <v>829209616</v>
      </c>
      <c r="M93">
        <f t="shared" si="26"/>
        <v>15044</v>
      </c>
      <c r="N93">
        <f t="shared" si="27"/>
        <v>23170</v>
      </c>
      <c r="O93">
        <f t="shared" si="28"/>
        <v>23170</v>
      </c>
      <c r="P93">
        <f t="shared" si="29"/>
        <v>14188</v>
      </c>
    </row>
    <row r="94" spans="1:16" x14ac:dyDescent="0.25">
      <c r="A94">
        <f t="shared" si="30"/>
        <v>88</v>
      </c>
      <c r="B94">
        <f t="shared" si="31"/>
        <v>2.2000000000000016E-2</v>
      </c>
      <c r="C94">
        <f t="shared" si="16"/>
        <v>0.58778525229247724</v>
      </c>
      <c r="D94">
        <f t="shared" si="17"/>
        <v>0.91354545764260309</v>
      </c>
      <c r="E94">
        <f t="shared" si="18"/>
        <v>0.58778525229247724</v>
      </c>
      <c r="F94">
        <f t="shared" si="19"/>
        <v>0.91354545764260309</v>
      </c>
      <c r="G94">
        <f t="shared" si="20"/>
        <v>0.53696854730110399</v>
      </c>
      <c r="H94">
        <f t="shared" si="21"/>
        <v>19260</v>
      </c>
      <c r="I94">
        <f t="shared" si="22"/>
        <v>19259</v>
      </c>
      <c r="J94">
        <f t="shared" si="23"/>
        <v>29934</v>
      </c>
      <c r="K94">
        <f t="shared" si="24"/>
        <v>370909081</v>
      </c>
      <c r="L94">
        <f t="shared" si="25"/>
        <v>896044356</v>
      </c>
      <c r="M94">
        <f t="shared" si="26"/>
        <v>17593</v>
      </c>
      <c r="N94">
        <f t="shared" si="27"/>
        <v>23170</v>
      </c>
      <c r="O94">
        <f t="shared" si="28"/>
        <v>23170</v>
      </c>
      <c r="P94">
        <f t="shared" si="29"/>
        <v>14188</v>
      </c>
    </row>
    <row r="95" spans="1:16" x14ac:dyDescent="0.25">
      <c r="A95">
        <f t="shared" si="30"/>
        <v>89</v>
      </c>
      <c r="B95">
        <f t="shared" si="31"/>
        <v>2.2250000000000016E-2</v>
      </c>
      <c r="C95">
        <f t="shared" si="16"/>
        <v>0.64944804833018788</v>
      </c>
      <c r="D95">
        <f t="shared" si="17"/>
        <v>0.94264149109218032</v>
      </c>
      <c r="E95">
        <f t="shared" si="18"/>
        <v>0.64944804833018788</v>
      </c>
      <c r="F95">
        <f t="shared" si="19"/>
        <v>0.94264149109218032</v>
      </c>
      <c r="G95">
        <f t="shared" si="20"/>
        <v>0.61219667666487465</v>
      </c>
      <c r="H95">
        <f t="shared" si="21"/>
        <v>21280</v>
      </c>
      <c r="I95">
        <f t="shared" si="22"/>
        <v>21280</v>
      </c>
      <c r="J95">
        <f t="shared" si="23"/>
        <v>30887</v>
      </c>
      <c r="K95">
        <f t="shared" si="24"/>
        <v>452838400</v>
      </c>
      <c r="L95">
        <f t="shared" si="25"/>
        <v>954006769</v>
      </c>
      <c r="M95">
        <f t="shared" si="26"/>
        <v>20058</v>
      </c>
      <c r="N95">
        <f t="shared" si="27"/>
        <v>23170</v>
      </c>
      <c r="O95">
        <f t="shared" si="28"/>
        <v>23170</v>
      </c>
      <c r="P95">
        <f t="shared" si="29"/>
        <v>14188</v>
      </c>
    </row>
    <row r="96" spans="1:16" x14ac:dyDescent="0.25">
      <c r="A96">
        <f t="shared" si="30"/>
        <v>90</v>
      </c>
      <c r="B96">
        <f t="shared" si="31"/>
        <v>2.2500000000000017E-2</v>
      </c>
      <c r="C96">
        <f t="shared" si="16"/>
        <v>0.70710678118655113</v>
      </c>
      <c r="D96">
        <f t="shared" si="17"/>
        <v>0.96592582628906964</v>
      </c>
      <c r="E96">
        <f t="shared" si="18"/>
        <v>0.70710678118655113</v>
      </c>
      <c r="F96">
        <f t="shared" si="19"/>
        <v>0.96592582628906964</v>
      </c>
      <c r="G96">
        <f t="shared" si="20"/>
        <v>0.68301270189222374</v>
      </c>
      <c r="H96">
        <f t="shared" si="21"/>
        <v>23170</v>
      </c>
      <c r="I96">
        <f t="shared" si="22"/>
        <v>23169</v>
      </c>
      <c r="J96">
        <f t="shared" si="23"/>
        <v>31650</v>
      </c>
      <c r="K96">
        <f t="shared" si="24"/>
        <v>536802561</v>
      </c>
      <c r="L96">
        <f t="shared" si="25"/>
        <v>1001722500</v>
      </c>
      <c r="M96">
        <f t="shared" si="26"/>
        <v>22378</v>
      </c>
      <c r="N96">
        <f t="shared" si="27"/>
        <v>23170</v>
      </c>
      <c r="O96">
        <f t="shared" si="28"/>
        <v>23170</v>
      </c>
      <c r="P96">
        <f t="shared" si="29"/>
        <v>14188</v>
      </c>
    </row>
    <row r="97" spans="1:16" x14ac:dyDescent="0.25">
      <c r="A97">
        <f t="shared" si="30"/>
        <v>91</v>
      </c>
      <c r="B97">
        <f t="shared" si="31"/>
        <v>2.2750000000000017E-2</v>
      </c>
      <c r="C97">
        <f t="shared" si="16"/>
        <v>0.76040596560003448</v>
      </c>
      <c r="D97">
        <f t="shared" si="17"/>
        <v>0.98325490756395562</v>
      </c>
      <c r="E97">
        <f t="shared" si="18"/>
        <v>0.76040596560003448</v>
      </c>
      <c r="F97">
        <f t="shared" si="19"/>
        <v>0.98325490756395562</v>
      </c>
      <c r="G97">
        <f t="shared" si="20"/>
        <v>0.74767289741714227</v>
      </c>
      <c r="H97">
        <f t="shared" si="21"/>
        <v>24916</v>
      </c>
      <c r="I97">
        <f t="shared" si="22"/>
        <v>24916</v>
      </c>
      <c r="J97">
        <f t="shared" si="23"/>
        <v>32218</v>
      </c>
      <c r="K97">
        <f t="shared" si="24"/>
        <v>620807056</v>
      </c>
      <c r="L97">
        <f t="shared" si="25"/>
        <v>1037999524</v>
      </c>
      <c r="M97">
        <f t="shared" si="26"/>
        <v>24497</v>
      </c>
      <c r="N97">
        <f t="shared" si="27"/>
        <v>23170</v>
      </c>
      <c r="O97">
        <f t="shared" si="28"/>
        <v>23170</v>
      </c>
      <c r="P97">
        <f t="shared" si="29"/>
        <v>14188</v>
      </c>
    </row>
    <row r="98" spans="1:16" x14ac:dyDescent="0.25">
      <c r="A98">
        <f t="shared" si="30"/>
        <v>92</v>
      </c>
      <c r="B98">
        <f t="shared" si="31"/>
        <v>2.3000000000000017E-2</v>
      </c>
      <c r="C98">
        <f t="shared" si="16"/>
        <v>0.80901699437495034</v>
      </c>
      <c r="D98">
        <f t="shared" si="17"/>
        <v>0.99452189536827384</v>
      </c>
      <c r="E98">
        <f t="shared" si="18"/>
        <v>0.80901699437495034</v>
      </c>
      <c r="F98">
        <f t="shared" si="19"/>
        <v>0.99452189536827384</v>
      </c>
      <c r="G98">
        <f t="shared" si="20"/>
        <v>0.80458511463091975</v>
      </c>
      <c r="H98">
        <f t="shared" si="21"/>
        <v>26509</v>
      </c>
      <c r="I98">
        <f t="shared" si="22"/>
        <v>26509</v>
      </c>
      <c r="J98">
        <f t="shared" si="23"/>
        <v>32587</v>
      </c>
      <c r="K98">
        <f t="shared" si="24"/>
        <v>702727081</v>
      </c>
      <c r="L98">
        <f t="shared" si="25"/>
        <v>1061912569</v>
      </c>
      <c r="M98">
        <f t="shared" si="26"/>
        <v>26362</v>
      </c>
      <c r="N98">
        <f t="shared" si="27"/>
        <v>23170</v>
      </c>
      <c r="O98">
        <f t="shared" si="28"/>
        <v>23170</v>
      </c>
      <c r="P98">
        <f t="shared" si="29"/>
        <v>14188</v>
      </c>
    </row>
    <row r="99" spans="1:16" x14ac:dyDescent="0.25">
      <c r="A99">
        <f t="shared" si="30"/>
        <v>93</v>
      </c>
      <c r="B99">
        <f t="shared" si="31"/>
        <v>2.3250000000000017E-2</v>
      </c>
      <c r="C99">
        <f t="shared" si="16"/>
        <v>0.85264016435409506</v>
      </c>
      <c r="D99">
        <f t="shared" si="17"/>
        <v>0.99965732497555748</v>
      </c>
      <c r="E99">
        <f t="shared" si="18"/>
        <v>0.85264016435409506</v>
      </c>
      <c r="F99">
        <f t="shared" si="19"/>
        <v>0.99965732497555748</v>
      </c>
      <c r="G99">
        <f t="shared" si="20"/>
        <v>0.85234798586493432</v>
      </c>
      <c r="H99">
        <f t="shared" si="21"/>
        <v>27938</v>
      </c>
      <c r="I99">
        <f t="shared" si="22"/>
        <v>27938</v>
      </c>
      <c r="J99">
        <f t="shared" si="23"/>
        <v>32755</v>
      </c>
      <c r="K99">
        <f t="shared" si="24"/>
        <v>780531844</v>
      </c>
      <c r="L99">
        <f t="shared" si="25"/>
        <v>1072890025</v>
      </c>
      <c r="M99">
        <f t="shared" si="26"/>
        <v>27926</v>
      </c>
      <c r="N99">
        <f t="shared" si="27"/>
        <v>23170</v>
      </c>
      <c r="O99">
        <f t="shared" si="28"/>
        <v>23170</v>
      </c>
      <c r="P99">
        <f t="shared" si="29"/>
        <v>14188</v>
      </c>
    </row>
    <row r="100" spans="1:16" x14ac:dyDescent="0.25">
      <c r="A100">
        <f t="shared" si="30"/>
        <v>94</v>
      </c>
      <c r="B100">
        <f t="shared" si="31"/>
        <v>2.3500000000000017E-2</v>
      </c>
      <c r="C100">
        <f t="shared" si="16"/>
        <v>0.89100652418837056</v>
      </c>
      <c r="D100">
        <f t="shared" si="17"/>
        <v>0.9986295347545735</v>
      </c>
      <c r="E100">
        <f t="shared" si="18"/>
        <v>0.89100652418837056</v>
      </c>
      <c r="F100">
        <f t="shared" si="19"/>
        <v>0.9986295347545735</v>
      </c>
      <c r="G100">
        <f t="shared" si="20"/>
        <v>0.88978543071352212</v>
      </c>
      <c r="H100">
        <f t="shared" si="21"/>
        <v>29196</v>
      </c>
      <c r="I100">
        <f t="shared" si="22"/>
        <v>29195</v>
      </c>
      <c r="J100">
        <f t="shared" si="23"/>
        <v>32722</v>
      </c>
      <c r="K100">
        <f t="shared" si="24"/>
        <v>852348025</v>
      </c>
      <c r="L100">
        <f t="shared" si="25"/>
        <v>1070729284</v>
      </c>
      <c r="M100">
        <f t="shared" si="26"/>
        <v>29154</v>
      </c>
      <c r="N100">
        <f t="shared" si="27"/>
        <v>23170</v>
      </c>
      <c r="O100">
        <f t="shared" si="28"/>
        <v>23170</v>
      </c>
      <c r="P100">
        <f t="shared" si="29"/>
        <v>14188</v>
      </c>
    </row>
    <row r="101" spans="1:16" x14ac:dyDescent="0.25">
      <c r="A101">
        <f t="shared" si="30"/>
        <v>95</v>
      </c>
      <c r="B101">
        <f t="shared" si="31"/>
        <v>2.3750000000000018E-2</v>
      </c>
      <c r="C101">
        <f t="shared" si="16"/>
        <v>0.92387953251128885</v>
      </c>
      <c r="D101">
        <f t="shared" si="17"/>
        <v>0.9914448613738096</v>
      </c>
      <c r="E101">
        <f t="shared" si="18"/>
        <v>0.92387953251128885</v>
      </c>
      <c r="F101">
        <f t="shared" si="19"/>
        <v>0.9914448613738096</v>
      </c>
      <c r="G101">
        <f t="shared" si="20"/>
        <v>0.91597561503675484</v>
      </c>
      <c r="H101">
        <f t="shared" si="21"/>
        <v>30273</v>
      </c>
      <c r="I101">
        <f t="shared" si="22"/>
        <v>30272</v>
      </c>
      <c r="J101">
        <f t="shared" si="23"/>
        <v>32486</v>
      </c>
      <c r="K101">
        <f t="shared" si="24"/>
        <v>916393984</v>
      </c>
      <c r="L101">
        <f t="shared" si="25"/>
        <v>1055340196</v>
      </c>
      <c r="M101">
        <f t="shared" si="26"/>
        <v>30011</v>
      </c>
      <c r="N101">
        <f t="shared" si="27"/>
        <v>23170</v>
      </c>
      <c r="O101">
        <f t="shared" si="28"/>
        <v>23170</v>
      </c>
      <c r="P101">
        <f t="shared" si="29"/>
        <v>14188</v>
      </c>
    </row>
    <row r="102" spans="1:16" x14ac:dyDescent="0.25">
      <c r="A102">
        <f t="shared" si="30"/>
        <v>96</v>
      </c>
      <c r="B102">
        <f t="shared" si="31"/>
        <v>2.4000000000000018E-2</v>
      </c>
      <c r="C102">
        <f t="shared" si="16"/>
        <v>0.95105651629515542</v>
      </c>
      <c r="D102">
        <f t="shared" si="17"/>
        <v>0.97814760073380436</v>
      </c>
      <c r="E102">
        <f t="shared" si="18"/>
        <v>0.95105651629515542</v>
      </c>
      <c r="F102">
        <f t="shared" si="19"/>
        <v>0.97814760073380436</v>
      </c>
      <c r="G102">
        <f t="shared" si="20"/>
        <v>0.93027364957635661</v>
      </c>
      <c r="H102">
        <f t="shared" si="21"/>
        <v>31163</v>
      </c>
      <c r="I102">
        <f t="shared" si="22"/>
        <v>31163</v>
      </c>
      <c r="J102">
        <f t="shared" si="23"/>
        <v>32050</v>
      </c>
      <c r="K102">
        <f t="shared" si="24"/>
        <v>971132569</v>
      </c>
      <c r="L102">
        <f t="shared" si="25"/>
        <v>1027202500</v>
      </c>
      <c r="M102">
        <f t="shared" si="26"/>
        <v>30480</v>
      </c>
      <c r="N102">
        <f t="shared" si="27"/>
        <v>23170</v>
      </c>
      <c r="O102">
        <f t="shared" si="28"/>
        <v>23170</v>
      </c>
      <c r="P102">
        <f t="shared" si="29"/>
        <v>14188</v>
      </c>
    </row>
    <row r="103" spans="1:16" x14ac:dyDescent="0.25">
      <c r="A103">
        <f t="shared" si="30"/>
        <v>97</v>
      </c>
      <c r="B103">
        <f t="shared" si="31"/>
        <v>2.4250000000000018E-2</v>
      </c>
      <c r="C103">
        <f t="shared" si="16"/>
        <v>0.97236992039767789</v>
      </c>
      <c r="D103">
        <f t="shared" si="17"/>
        <v>0.95881973486819172</v>
      </c>
      <c r="E103">
        <f t="shared" si="18"/>
        <v>0.97236992039767789</v>
      </c>
      <c r="F103">
        <f t="shared" si="19"/>
        <v>0.95881973486819172</v>
      </c>
      <c r="G103">
        <f t="shared" si="20"/>
        <v>0.93232746926950616</v>
      </c>
      <c r="H103">
        <f t="shared" si="21"/>
        <v>31862</v>
      </c>
      <c r="I103">
        <f t="shared" si="22"/>
        <v>31861</v>
      </c>
      <c r="J103">
        <f t="shared" si="23"/>
        <v>31417</v>
      </c>
      <c r="K103">
        <f t="shared" si="24"/>
        <v>1015123321</v>
      </c>
      <c r="L103">
        <f t="shared" si="25"/>
        <v>987027889</v>
      </c>
      <c r="M103">
        <f t="shared" si="26"/>
        <v>30547</v>
      </c>
      <c r="N103">
        <f t="shared" si="27"/>
        <v>23170</v>
      </c>
      <c r="O103">
        <f t="shared" si="28"/>
        <v>23170</v>
      </c>
      <c r="P103">
        <f t="shared" si="29"/>
        <v>14188</v>
      </c>
    </row>
    <row r="104" spans="1:16" x14ac:dyDescent="0.25">
      <c r="A104">
        <f t="shared" si="30"/>
        <v>98</v>
      </c>
      <c r="B104">
        <f t="shared" si="31"/>
        <v>2.4500000000000018E-2</v>
      </c>
      <c r="C104">
        <f t="shared" si="16"/>
        <v>0.98768834059513866</v>
      </c>
      <c r="D104">
        <f t="shared" si="17"/>
        <v>0.93358042649719986</v>
      </c>
      <c r="E104">
        <f t="shared" si="18"/>
        <v>0.98768834059513866</v>
      </c>
      <c r="F104">
        <f t="shared" si="19"/>
        <v>0.93358042649719986</v>
      </c>
      <c r="G104">
        <f t="shared" si="20"/>
        <v>0.92208650225912114</v>
      </c>
      <c r="H104">
        <f t="shared" si="21"/>
        <v>32364</v>
      </c>
      <c r="I104">
        <f t="shared" si="22"/>
        <v>32363</v>
      </c>
      <c r="J104">
        <f t="shared" si="23"/>
        <v>30590</v>
      </c>
      <c r="K104">
        <f t="shared" si="24"/>
        <v>1047363769</v>
      </c>
      <c r="L104">
        <f t="shared" si="25"/>
        <v>935748100</v>
      </c>
      <c r="M104">
        <f t="shared" si="26"/>
        <v>30211</v>
      </c>
      <c r="N104">
        <f t="shared" si="27"/>
        <v>23170</v>
      </c>
      <c r="O104">
        <f t="shared" si="28"/>
        <v>23170</v>
      </c>
      <c r="P104">
        <f t="shared" si="29"/>
        <v>14188</v>
      </c>
    </row>
    <row r="105" spans="1:16" x14ac:dyDescent="0.25">
      <c r="A105">
        <f t="shared" si="30"/>
        <v>99</v>
      </c>
      <c r="B105">
        <f t="shared" si="31"/>
        <v>2.4750000000000019E-2</v>
      </c>
      <c r="C105">
        <f t="shared" si="16"/>
        <v>0.99691733373312841</v>
      </c>
      <c r="D105">
        <f t="shared" si="17"/>
        <v>0.90258528434985819</v>
      </c>
      <c r="E105">
        <f t="shared" si="18"/>
        <v>0.99691733373312841</v>
      </c>
      <c r="F105">
        <f t="shared" si="19"/>
        <v>0.90258528434985819</v>
      </c>
      <c r="G105">
        <f t="shared" si="20"/>
        <v>0.89980291514081823</v>
      </c>
      <c r="H105">
        <f t="shared" si="21"/>
        <v>32666</v>
      </c>
      <c r="I105">
        <f t="shared" si="22"/>
        <v>32665</v>
      </c>
      <c r="J105">
        <f t="shared" si="23"/>
        <v>29575</v>
      </c>
      <c r="K105">
        <f t="shared" si="24"/>
        <v>1067002225</v>
      </c>
      <c r="L105">
        <f t="shared" si="25"/>
        <v>874680625</v>
      </c>
      <c r="M105">
        <f t="shared" si="26"/>
        <v>29482</v>
      </c>
      <c r="N105">
        <f t="shared" si="27"/>
        <v>23170</v>
      </c>
      <c r="O105">
        <f t="shared" si="28"/>
        <v>23170</v>
      </c>
      <c r="P105">
        <f t="shared" si="29"/>
        <v>14188</v>
      </c>
    </row>
    <row r="106" spans="1:16" x14ac:dyDescent="0.25">
      <c r="A106">
        <f t="shared" si="30"/>
        <v>100</v>
      </c>
      <c r="B106">
        <f t="shared" si="31"/>
        <v>2.5000000000000019E-2</v>
      </c>
      <c r="C106">
        <f t="shared" si="16"/>
        <v>1</v>
      </c>
      <c r="D106">
        <f t="shared" si="17"/>
        <v>0.8660254037844356</v>
      </c>
      <c r="E106">
        <f t="shared" si="18"/>
        <v>1</v>
      </c>
      <c r="F106">
        <f t="shared" si="19"/>
        <v>0.8660254037844356</v>
      </c>
      <c r="G106">
        <f t="shared" si="20"/>
        <v>0.8660254037844356</v>
      </c>
      <c r="H106">
        <f t="shared" si="21"/>
        <v>32767</v>
      </c>
      <c r="I106">
        <f t="shared" si="22"/>
        <v>32767</v>
      </c>
      <c r="J106">
        <f t="shared" si="23"/>
        <v>28377</v>
      </c>
      <c r="K106">
        <f t="shared" si="24"/>
        <v>1073676289</v>
      </c>
      <c r="L106">
        <f t="shared" si="25"/>
        <v>805254129</v>
      </c>
      <c r="M106">
        <f t="shared" si="26"/>
        <v>28376</v>
      </c>
      <c r="N106">
        <f t="shared" si="27"/>
        <v>23170</v>
      </c>
      <c r="O106">
        <f t="shared" si="28"/>
        <v>23170</v>
      </c>
      <c r="P106">
        <f t="shared" si="29"/>
        <v>14188</v>
      </c>
    </row>
    <row r="107" spans="1:16" x14ac:dyDescent="0.25">
      <c r="A107">
        <f t="shared" si="30"/>
        <v>101</v>
      </c>
      <c r="B107">
        <f t="shared" si="31"/>
        <v>2.5250000000000019E-2</v>
      </c>
      <c r="C107">
        <f t="shared" si="16"/>
        <v>0.99691733373312752</v>
      </c>
      <c r="D107">
        <f t="shared" si="17"/>
        <v>0.82412618862201192</v>
      </c>
      <c r="E107">
        <f t="shared" si="18"/>
        <v>0.99691733373312752</v>
      </c>
      <c r="F107">
        <f t="shared" si="19"/>
        <v>0.82412618862201192</v>
      </c>
      <c r="G107">
        <f t="shared" si="20"/>
        <v>0.82158568262070064</v>
      </c>
      <c r="H107">
        <f t="shared" si="21"/>
        <v>32666</v>
      </c>
      <c r="I107">
        <f t="shared" si="22"/>
        <v>32665</v>
      </c>
      <c r="J107">
        <f t="shared" si="23"/>
        <v>27004</v>
      </c>
      <c r="K107">
        <f t="shared" si="24"/>
        <v>1067002225</v>
      </c>
      <c r="L107">
        <f t="shared" si="25"/>
        <v>729216016</v>
      </c>
      <c r="M107">
        <f t="shared" si="26"/>
        <v>26919</v>
      </c>
      <c r="N107">
        <f t="shared" si="27"/>
        <v>23170</v>
      </c>
      <c r="O107">
        <f t="shared" si="28"/>
        <v>23170</v>
      </c>
      <c r="P107">
        <f t="shared" si="29"/>
        <v>14188</v>
      </c>
    </row>
    <row r="108" spans="1:16" x14ac:dyDescent="0.25">
      <c r="A108">
        <f t="shared" si="30"/>
        <v>102</v>
      </c>
      <c r="B108">
        <f t="shared" si="31"/>
        <v>2.5500000000000019E-2</v>
      </c>
      <c r="C108">
        <f t="shared" si="16"/>
        <v>0.98768834059513677</v>
      </c>
      <c r="D108">
        <f t="shared" si="17"/>
        <v>0.77714596145696757</v>
      </c>
      <c r="E108">
        <f t="shared" si="18"/>
        <v>0.98768834059513677</v>
      </c>
      <c r="F108">
        <f t="shared" si="19"/>
        <v>0.77714596145696757</v>
      </c>
      <c r="G108">
        <f t="shared" si="20"/>
        <v>0.76757800507164442</v>
      </c>
      <c r="H108">
        <f t="shared" si="21"/>
        <v>32364</v>
      </c>
      <c r="I108">
        <f t="shared" si="22"/>
        <v>32363</v>
      </c>
      <c r="J108">
        <f t="shared" si="23"/>
        <v>25464</v>
      </c>
      <c r="K108">
        <f t="shared" si="24"/>
        <v>1047363769</v>
      </c>
      <c r="L108">
        <f t="shared" si="25"/>
        <v>648415296</v>
      </c>
      <c r="M108">
        <f t="shared" si="26"/>
        <v>25149</v>
      </c>
      <c r="N108">
        <f t="shared" si="27"/>
        <v>23170</v>
      </c>
      <c r="O108">
        <f t="shared" si="28"/>
        <v>23170</v>
      </c>
      <c r="P108">
        <f t="shared" si="29"/>
        <v>14188</v>
      </c>
    </row>
    <row r="109" spans="1:16" x14ac:dyDescent="0.25">
      <c r="A109">
        <f t="shared" si="30"/>
        <v>103</v>
      </c>
      <c r="B109">
        <f t="shared" si="31"/>
        <v>2.5750000000000019E-2</v>
      </c>
      <c r="C109">
        <f t="shared" si="16"/>
        <v>0.97236992039767511</v>
      </c>
      <c r="D109">
        <f t="shared" si="17"/>
        <v>0.72537437101228364</v>
      </c>
      <c r="E109">
        <f t="shared" si="18"/>
        <v>0.97236992039767511</v>
      </c>
      <c r="F109">
        <f t="shared" si="19"/>
        <v>0.72537437101228364</v>
      </c>
      <c r="G109">
        <f t="shared" si="20"/>
        <v>0.7053322193997279</v>
      </c>
      <c r="H109">
        <f t="shared" si="21"/>
        <v>31862</v>
      </c>
      <c r="I109">
        <f t="shared" si="22"/>
        <v>31861</v>
      </c>
      <c r="J109">
        <f t="shared" si="23"/>
        <v>23768</v>
      </c>
      <c r="K109">
        <f t="shared" si="24"/>
        <v>1015123321</v>
      </c>
      <c r="L109">
        <f t="shared" si="25"/>
        <v>564917824</v>
      </c>
      <c r="M109">
        <f t="shared" si="26"/>
        <v>23110</v>
      </c>
      <c r="N109">
        <f t="shared" si="27"/>
        <v>23170</v>
      </c>
      <c r="O109">
        <f t="shared" si="28"/>
        <v>23170</v>
      </c>
      <c r="P109">
        <f t="shared" si="29"/>
        <v>14188</v>
      </c>
    </row>
    <row r="110" spans="1:16" x14ac:dyDescent="0.25">
      <c r="A110">
        <f t="shared" si="30"/>
        <v>104</v>
      </c>
      <c r="B110">
        <f t="shared" si="31"/>
        <v>2.600000000000002E-2</v>
      </c>
      <c r="C110">
        <f t="shared" si="16"/>
        <v>0.95105651629515142</v>
      </c>
      <c r="D110">
        <f t="shared" si="17"/>
        <v>0.66913060635885357</v>
      </c>
      <c r="E110">
        <f t="shared" si="18"/>
        <v>0.95105651629515142</v>
      </c>
      <c r="F110">
        <f t="shared" si="19"/>
        <v>0.66913060635885357</v>
      </c>
      <c r="G110">
        <f t="shared" si="20"/>
        <v>0.6363810234301136</v>
      </c>
      <c r="H110">
        <f t="shared" si="21"/>
        <v>31163</v>
      </c>
      <c r="I110">
        <f t="shared" si="22"/>
        <v>31163</v>
      </c>
      <c r="J110">
        <f t="shared" si="23"/>
        <v>21925</v>
      </c>
      <c r="K110">
        <f t="shared" si="24"/>
        <v>971132569</v>
      </c>
      <c r="L110">
        <f t="shared" si="25"/>
        <v>480705625</v>
      </c>
      <c r="M110">
        <f t="shared" si="26"/>
        <v>20851</v>
      </c>
      <c r="N110">
        <f t="shared" si="27"/>
        <v>23170</v>
      </c>
      <c r="O110">
        <f t="shared" si="28"/>
        <v>23170</v>
      </c>
      <c r="P110">
        <f t="shared" si="29"/>
        <v>14188</v>
      </c>
    </row>
    <row r="111" spans="1:16" x14ac:dyDescent="0.25">
      <c r="A111">
        <f t="shared" si="30"/>
        <v>105</v>
      </c>
      <c r="B111">
        <f t="shared" si="31"/>
        <v>2.625000000000002E-2</v>
      </c>
      <c r="C111">
        <f t="shared" si="16"/>
        <v>0.92387953251128463</v>
      </c>
      <c r="D111">
        <f t="shared" si="17"/>
        <v>0.60876142900871677</v>
      </c>
      <c r="E111">
        <f t="shared" si="18"/>
        <v>0.92387953251128463</v>
      </c>
      <c r="F111">
        <f t="shared" si="19"/>
        <v>0.60876142900871677</v>
      </c>
      <c r="G111">
        <f t="shared" si="20"/>
        <v>0.56242222444347478</v>
      </c>
      <c r="H111">
        <f t="shared" si="21"/>
        <v>30273</v>
      </c>
      <c r="I111">
        <f t="shared" si="22"/>
        <v>30272</v>
      </c>
      <c r="J111">
        <f t="shared" si="23"/>
        <v>19947</v>
      </c>
      <c r="K111">
        <f t="shared" si="24"/>
        <v>916393984</v>
      </c>
      <c r="L111">
        <f t="shared" si="25"/>
        <v>397882809</v>
      </c>
      <c r="M111">
        <f t="shared" si="26"/>
        <v>18427</v>
      </c>
      <c r="N111">
        <f t="shared" si="27"/>
        <v>23170</v>
      </c>
      <c r="O111">
        <f t="shared" si="28"/>
        <v>23170</v>
      </c>
      <c r="P111">
        <f t="shared" si="29"/>
        <v>14188</v>
      </c>
    </row>
    <row r="112" spans="1:16" x14ac:dyDescent="0.25">
      <c r="A112">
        <f t="shared" si="30"/>
        <v>106</v>
      </c>
      <c r="B112">
        <f t="shared" si="31"/>
        <v>2.650000000000002E-2</v>
      </c>
      <c r="C112">
        <f t="shared" si="16"/>
        <v>0.89100652418836523</v>
      </c>
      <c r="D112">
        <f t="shared" si="17"/>
        <v>0.54463903501502264</v>
      </c>
      <c r="E112">
        <f t="shared" si="18"/>
        <v>0.89100652418836523</v>
      </c>
      <c r="F112">
        <f t="shared" si="19"/>
        <v>0.54463903501502264</v>
      </c>
      <c r="G112">
        <f t="shared" si="20"/>
        <v>0.48527693352604068</v>
      </c>
      <c r="H112">
        <f t="shared" si="21"/>
        <v>29196</v>
      </c>
      <c r="I112">
        <f t="shared" si="22"/>
        <v>29195</v>
      </c>
      <c r="J112">
        <f t="shared" si="23"/>
        <v>17846</v>
      </c>
      <c r="K112">
        <f t="shared" si="24"/>
        <v>852348025</v>
      </c>
      <c r="L112">
        <f t="shared" si="25"/>
        <v>318479716</v>
      </c>
      <c r="M112">
        <f t="shared" si="26"/>
        <v>15900</v>
      </c>
      <c r="N112">
        <f t="shared" si="27"/>
        <v>23170</v>
      </c>
      <c r="O112">
        <f t="shared" si="28"/>
        <v>23170</v>
      </c>
      <c r="P112">
        <f t="shared" si="29"/>
        <v>14188</v>
      </c>
    </row>
    <row r="113" spans="1:16" x14ac:dyDescent="0.25">
      <c r="A113">
        <f t="shared" si="30"/>
        <v>107</v>
      </c>
      <c r="B113">
        <f t="shared" si="31"/>
        <v>2.675000000000002E-2</v>
      </c>
      <c r="C113">
        <f t="shared" si="16"/>
        <v>0.85264016435408896</v>
      </c>
      <c r="D113">
        <f t="shared" si="17"/>
        <v>0.47715876025960341</v>
      </c>
      <c r="E113">
        <f t="shared" si="18"/>
        <v>0.85264016435408896</v>
      </c>
      <c r="F113">
        <f t="shared" si="19"/>
        <v>0.47715876025960341</v>
      </c>
      <c r="G113">
        <f t="shared" si="20"/>
        <v>0.4068447237707416</v>
      </c>
      <c r="H113">
        <f t="shared" si="21"/>
        <v>27938</v>
      </c>
      <c r="I113">
        <f t="shared" si="22"/>
        <v>27938</v>
      </c>
      <c r="J113">
        <f t="shared" si="23"/>
        <v>15635</v>
      </c>
      <c r="K113">
        <f t="shared" si="24"/>
        <v>780531844</v>
      </c>
      <c r="L113">
        <f t="shared" si="25"/>
        <v>244453225</v>
      </c>
      <c r="M113">
        <f t="shared" si="26"/>
        <v>13330</v>
      </c>
      <c r="N113">
        <f t="shared" si="27"/>
        <v>23170</v>
      </c>
      <c r="O113">
        <f t="shared" si="28"/>
        <v>23170</v>
      </c>
      <c r="P113">
        <f t="shared" si="29"/>
        <v>14188</v>
      </c>
    </row>
    <row r="114" spans="1:16" x14ac:dyDescent="0.25">
      <c r="A114">
        <f t="shared" si="30"/>
        <v>108</v>
      </c>
      <c r="B114">
        <f t="shared" si="31"/>
        <v>2.7000000000000021E-2</v>
      </c>
      <c r="C114">
        <f t="shared" si="16"/>
        <v>0.80901699437494345</v>
      </c>
      <c r="D114">
        <f t="shared" si="17"/>
        <v>0.4067366430757946</v>
      </c>
      <c r="E114">
        <f t="shared" si="18"/>
        <v>0.80901699437494345</v>
      </c>
      <c r="F114">
        <f t="shared" si="19"/>
        <v>0.4067366430757946</v>
      </c>
      <c r="G114">
        <f t="shared" si="20"/>
        <v>0.32905685648333349</v>
      </c>
      <c r="H114">
        <f t="shared" si="21"/>
        <v>26509</v>
      </c>
      <c r="I114">
        <f t="shared" si="22"/>
        <v>26509</v>
      </c>
      <c r="J114">
        <f t="shared" si="23"/>
        <v>13327</v>
      </c>
      <c r="K114">
        <f t="shared" si="24"/>
        <v>702727081</v>
      </c>
      <c r="L114">
        <f t="shared" si="25"/>
        <v>177608929</v>
      </c>
      <c r="M114">
        <f t="shared" si="26"/>
        <v>10781</v>
      </c>
      <c r="N114">
        <f t="shared" si="27"/>
        <v>23170</v>
      </c>
      <c r="O114">
        <f t="shared" si="28"/>
        <v>23170</v>
      </c>
      <c r="P114">
        <f t="shared" si="29"/>
        <v>14188</v>
      </c>
    </row>
    <row r="115" spans="1:16" x14ac:dyDescent="0.25">
      <c r="A115">
        <f t="shared" si="30"/>
        <v>109</v>
      </c>
      <c r="B115">
        <f t="shared" si="31"/>
        <v>2.7250000000000021E-2</v>
      </c>
      <c r="C115">
        <f t="shared" si="16"/>
        <v>0.76040596560002627</v>
      </c>
      <c r="D115">
        <f t="shared" si="17"/>
        <v>0.33380685923376469</v>
      </c>
      <c r="E115">
        <f t="shared" si="18"/>
        <v>0.76040596560002627</v>
      </c>
      <c r="F115">
        <f t="shared" si="19"/>
        <v>0.33380685923376469</v>
      </c>
      <c r="G115">
        <f t="shared" si="20"/>
        <v>0.25382872711956289</v>
      </c>
      <c r="H115">
        <f t="shared" si="21"/>
        <v>24916</v>
      </c>
      <c r="I115">
        <f t="shared" si="22"/>
        <v>24916</v>
      </c>
      <c r="J115">
        <f t="shared" si="23"/>
        <v>10937</v>
      </c>
      <c r="K115">
        <f t="shared" si="24"/>
        <v>620807056</v>
      </c>
      <c r="L115">
        <f t="shared" si="25"/>
        <v>119617969</v>
      </c>
      <c r="M115">
        <f t="shared" si="26"/>
        <v>8316</v>
      </c>
      <c r="N115">
        <f t="shared" si="27"/>
        <v>23170</v>
      </c>
      <c r="O115">
        <f t="shared" si="28"/>
        <v>23170</v>
      </c>
      <c r="P115">
        <f t="shared" si="29"/>
        <v>14188</v>
      </c>
    </row>
    <row r="116" spans="1:16" x14ac:dyDescent="0.25">
      <c r="A116">
        <f t="shared" si="30"/>
        <v>110</v>
      </c>
      <c r="B116">
        <f t="shared" si="31"/>
        <v>2.7500000000000021E-2</v>
      </c>
      <c r="C116">
        <f t="shared" si="16"/>
        <v>0.70710678118654335</v>
      </c>
      <c r="D116">
        <f t="shared" si="17"/>
        <v>0.25881904510251569</v>
      </c>
      <c r="E116">
        <f t="shared" si="18"/>
        <v>0.70710678118654335</v>
      </c>
      <c r="F116">
        <f t="shared" si="19"/>
        <v>0.25881904510251569</v>
      </c>
      <c r="G116">
        <f t="shared" si="20"/>
        <v>0.18301270189221466</v>
      </c>
      <c r="H116">
        <f t="shared" si="21"/>
        <v>23170</v>
      </c>
      <c r="I116">
        <f t="shared" si="22"/>
        <v>23169</v>
      </c>
      <c r="J116">
        <f t="shared" si="23"/>
        <v>8480</v>
      </c>
      <c r="K116">
        <f t="shared" si="24"/>
        <v>536802561</v>
      </c>
      <c r="L116">
        <f t="shared" si="25"/>
        <v>71910400</v>
      </c>
      <c r="M116">
        <f t="shared" si="26"/>
        <v>5995</v>
      </c>
      <c r="N116">
        <f t="shared" si="27"/>
        <v>23170</v>
      </c>
      <c r="O116">
        <f t="shared" si="28"/>
        <v>23170</v>
      </c>
      <c r="P116">
        <f t="shared" si="29"/>
        <v>14188</v>
      </c>
    </row>
    <row r="117" spans="1:16" x14ac:dyDescent="0.25">
      <c r="A117">
        <f t="shared" si="30"/>
        <v>111</v>
      </c>
      <c r="B117">
        <f t="shared" si="31"/>
        <v>2.7750000000000021E-2</v>
      </c>
      <c r="C117">
        <f t="shared" si="16"/>
        <v>0.64944804833017888</v>
      </c>
      <c r="D117">
        <f t="shared" si="17"/>
        <v>0.18223552549214184</v>
      </c>
      <c r="E117">
        <f t="shared" si="18"/>
        <v>0.64944804833017888</v>
      </c>
      <c r="F117">
        <f t="shared" si="19"/>
        <v>0.18223552549214184</v>
      </c>
      <c r="G117">
        <f t="shared" si="20"/>
        <v>0.11835250636729608</v>
      </c>
      <c r="H117">
        <f t="shared" si="21"/>
        <v>21280</v>
      </c>
      <c r="I117">
        <f t="shared" si="22"/>
        <v>21280</v>
      </c>
      <c r="J117">
        <f t="shared" si="23"/>
        <v>5971</v>
      </c>
      <c r="K117">
        <f t="shared" si="24"/>
        <v>452838400</v>
      </c>
      <c r="L117">
        <f t="shared" si="25"/>
        <v>35652841</v>
      </c>
      <c r="M117">
        <f t="shared" si="26"/>
        <v>3877</v>
      </c>
      <c r="N117">
        <f t="shared" si="27"/>
        <v>23170</v>
      </c>
      <c r="O117">
        <f t="shared" si="28"/>
        <v>23170</v>
      </c>
      <c r="P117">
        <f t="shared" si="29"/>
        <v>14188</v>
      </c>
    </row>
    <row r="118" spans="1:16" x14ac:dyDescent="0.25">
      <c r="A118">
        <f t="shared" si="30"/>
        <v>112</v>
      </c>
      <c r="B118">
        <f t="shared" si="31"/>
        <v>2.8000000000000021E-2</v>
      </c>
      <c r="C118">
        <f t="shared" si="16"/>
        <v>0.5877852522924677</v>
      </c>
      <c r="D118">
        <f t="shared" si="17"/>
        <v>0.10452846326764735</v>
      </c>
      <c r="E118">
        <f t="shared" si="18"/>
        <v>0.5877852522924677</v>
      </c>
      <c r="F118">
        <f t="shared" si="19"/>
        <v>0.10452846326764735</v>
      </c>
      <c r="G118">
        <f t="shared" si="20"/>
        <v>6.1440289153518041E-2</v>
      </c>
      <c r="H118">
        <f t="shared" si="21"/>
        <v>19260</v>
      </c>
      <c r="I118">
        <f t="shared" si="22"/>
        <v>19259</v>
      </c>
      <c r="J118">
        <f t="shared" si="23"/>
        <v>3425</v>
      </c>
      <c r="K118">
        <f t="shared" si="24"/>
        <v>370909081</v>
      </c>
      <c r="L118">
        <f t="shared" si="25"/>
        <v>11730625</v>
      </c>
      <c r="M118">
        <f t="shared" si="26"/>
        <v>2013</v>
      </c>
      <c r="N118">
        <f t="shared" si="27"/>
        <v>23170</v>
      </c>
      <c r="O118">
        <f t="shared" si="28"/>
        <v>23170</v>
      </c>
      <c r="P118">
        <f t="shared" si="29"/>
        <v>14188</v>
      </c>
    </row>
    <row r="119" spans="1:16" x14ac:dyDescent="0.25">
      <c r="A119">
        <f t="shared" si="30"/>
        <v>113</v>
      </c>
      <c r="B119">
        <f t="shared" si="31"/>
        <v>2.8250000000000022E-2</v>
      </c>
      <c r="C119">
        <f t="shared" si="16"/>
        <v>0.52249856471594269</v>
      </c>
      <c r="D119">
        <f t="shared" si="17"/>
        <v>2.6176948307866564E-2</v>
      </c>
      <c r="E119">
        <f t="shared" si="18"/>
        <v>0.52249856471594269</v>
      </c>
      <c r="F119">
        <f t="shared" si="19"/>
        <v>2.6176948307866564E-2</v>
      </c>
      <c r="G119">
        <f t="shared" si="20"/>
        <v>1.3677417919503705E-2</v>
      </c>
      <c r="H119">
        <f t="shared" si="21"/>
        <v>17121</v>
      </c>
      <c r="I119">
        <f t="shared" si="22"/>
        <v>17120</v>
      </c>
      <c r="J119">
        <f t="shared" si="23"/>
        <v>857</v>
      </c>
      <c r="K119">
        <f t="shared" si="24"/>
        <v>293094400</v>
      </c>
      <c r="L119">
        <f t="shared" si="25"/>
        <v>734449</v>
      </c>
      <c r="M119">
        <f t="shared" si="26"/>
        <v>447</v>
      </c>
      <c r="N119">
        <f t="shared" si="27"/>
        <v>23170</v>
      </c>
      <c r="O119">
        <f t="shared" si="28"/>
        <v>23170</v>
      </c>
      <c r="P119">
        <f t="shared" si="29"/>
        <v>14188</v>
      </c>
    </row>
    <row r="120" spans="1:16" x14ac:dyDescent="0.25">
      <c r="A120">
        <f t="shared" si="30"/>
        <v>114</v>
      </c>
      <c r="B120">
        <f t="shared" si="31"/>
        <v>2.8500000000000022E-2</v>
      </c>
      <c r="C120">
        <f t="shared" si="16"/>
        <v>0.45399049973953998</v>
      </c>
      <c r="D120">
        <f t="shared" si="17"/>
        <v>-5.2335956242950857E-2</v>
      </c>
      <c r="E120">
        <f t="shared" si="18"/>
        <v>0.45399049973953998</v>
      </c>
      <c r="F120">
        <f t="shared" si="19"/>
        <v>-5.2335956242950857E-2</v>
      </c>
      <c r="G120">
        <f t="shared" si="20"/>
        <v>-2.3760026929083956E-2</v>
      </c>
      <c r="H120">
        <f t="shared" si="21"/>
        <v>14876</v>
      </c>
      <c r="I120">
        <f t="shared" si="22"/>
        <v>14875</v>
      </c>
      <c r="J120">
        <f t="shared" si="23"/>
        <v>-1715</v>
      </c>
      <c r="K120">
        <f t="shared" si="24"/>
        <v>221265625</v>
      </c>
      <c r="L120">
        <f t="shared" si="25"/>
        <v>2941225</v>
      </c>
      <c r="M120">
        <f t="shared" si="26"/>
        <v>-779</v>
      </c>
      <c r="N120">
        <f t="shared" si="27"/>
        <v>23170</v>
      </c>
      <c r="O120">
        <f t="shared" si="28"/>
        <v>23170</v>
      </c>
      <c r="P120">
        <f t="shared" si="29"/>
        <v>14188</v>
      </c>
    </row>
    <row r="121" spans="1:16" x14ac:dyDescent="0.25">
      <c r="A121">
        <f t="shared" si="30"/>
        <v>115</v>
      </c>
      <c r="B121">
        <f t="shared" si="31"/>
        <v>2.8750000000000022E-2</v>
      </c>
      <c r="C121">
        <f t="shared" si="16"/>
        <v>0.38268343236508395</v>
      </c>
      <c r="D121">
        <f t="shared" si="17"/>
        <v>-0.13052619222005724</v>
      </c>
      <c r="E121">
        <f t="shared" si="18"/>
        <v>0.38268343236508395</v>
      </c>
      <c r="F121">
        <f t="shared" si="19"/>
        <v>-0.13052619222005724</v>
      </c>
      <c r="G121">
        <f t="shared" si="20"/>
        <v>-4.9950211252316218E-2</v>
      </c>
      <c r="H121">
        <f t="shared" si="21"/>
        <v>12539</v>
      </c>
      <c r="I121">
        <f t="shared" si="22"/>
        <v>12539</v>
      </c>
      <c r="J121">
        <f t="shared" si="23"/>
        <v>-4278</v>
      </c>
      <c r="K121">
        <f t="shared" si="24"/>
        <v>157226521</v>
      </c>
      <c r="L121">
        <f t="shared" si="25"/>
        <v>18301284</v>
      </c>
      <c r="M121">
        <f t="shared" si="26"/>
        <v>-1638</v>
      </c>
      <c r="N121">
        <f t="shared" si="27"/>
        <v>23170</v>
      </c>
      <c r="O121">
        <f t="shared" si="28"/>
        <v>23170</v>
      </c>
      <c r="P121">
        <f t="shared" si="29"/>
        <v>14188</v>
      </c>
    </row>
    <row r="122" spans="1:16" x14ac:dyDescent="0.25">
      <c r="A122">
        <f t="shared" si="30"/>
        <v>116</v>
      </c>
      <c r="B122">
        <f t="shared" si="31"/>
        <v>2.9000000000000022E-2</v>
      </c>
      <c r="C122">
        <f t="shared" si="16"/>
        <v>0.30901699437494101</v>
      </c>
      <c r="D122">
        <f t="shared" si="17"/>
        <v>-0.20791169081776534</v>
      </c>
      <c r="E122">
        <f t="shared" si="18"/>
        <v>0.30901699437494101</v>
      </c>
      <c r="F122">
        <f t="shared" si="19"/>
        <v>-0.20791169081776534</v>
      </c>
      <c r="G122">
        <f t="shared" si="20"/>
        <v>-6.424824579191786E-2</v>
      </c>
      <c r="H122">
        <f t="shared" si="21"/>
        <v>10126</v>
      </c>
      <c r="I122">
        <f t="shared" si="22"/>
        <v>10125</v>
      </c>
      <c r="J122">
        <f t="shared" si="23"/>
        <v>-6813</v>
      </c>
      <c r="K122">
        <f t="shared" si="24"/>
        <v>102515625</v>
      </c>
      <c r="L122">
        <f t="shared" si="25"/>
        <v>46416969</v>
      </c>
      <c r="M122">
        <f t="shared" si="26"/>
        <v>-2106</v>
      </c>
      <c r="N122">
        <f t="shared" si="27"/>
        <v>23170</v>
      </c>
      <c r="O122">
        <f t="shared" si="28"/>
        <v>23170</v>
      </c>
      <c r="P122">
        <f t="shared" si="29"/>
        <v>14188</v>
      </c>
    </row>
    <row r="123" spans="1:16" x14ac:dyDescent="0.25">
      <c r="A123">
        <f t="shared" si="30"/>
        <v>117</v>
      </c>
      <c r="B123">
        <f t="shared" si="31"/>
        <v>2.9250000000000023E-2</v>
      </c>
      <c r="C123">
        <f t="shared" si="16"/>
        <v>0.23344536385589842</v>
      </c>
      <c r="D123">
        <f t="shared" si="17"/>
        <v>-0.28401534470392892</v>
      </c>
      <c r="E123">
        <f t="shared" si="18"/>
        <v>0.23344536385589842</v>
      </c>
      <c r="F123">
        <f t="shared" si="19"/>
        <v>-0.28401534470392892</v>
      </c>
      <c r="G123">
        <f t="shared" si="20"/>
        <v>-6.6302065485067105E-2</v>
      </c>
      <c r="H123">
        <f t="shared" si="21"/>
        <v>7649</v>
      </c>
      <c r="I123">
        <f t="shared" si="22"/>
        <v>7649</v>
      </c>
      <c r="J123">
        <f t="shared" si="23"/>
        <v>-9307</v>
      </c>
      <c r="K123">
        <f t="shared" si="24"/>
        <v>58507201</v>
      </c>
      <c r="L123">
        <f t="shared" si="25"/>
        <v>86620249</v>
      </c>
      <c r="M123">
        <f t="shared" si="26"/>
        <v>-2173</v>
      </c>
      <c r="N123">
        <f t="shared" si="27"/>
        <v>23170</v>
      </c>
      <c r="O123">
        <f t="shared" si="28"/>
        <v>23170</v>
      </c>
      <c r="P123">
        <f t="shared" si="29"/>
        <v>14188</v>
      </c>
    </row>
    <row r="124" spans="1:16" x14ac:dyDescent="0.25">
      <c r="A124">
        <f t="shared" si="30"/>
        <v>118</v>
      </c>
      <c r="B124">
        <f t="shared" si="31"/>
        <v>2.9500000000000023E-2</v>
      </c>
      <c r="C124">
        <f t="shared" si="16"/>
        <v>0.15643446504022332</v>
      </c>
      <c r="D124">
        <f t="shared" si="17"/>
        <v>-0.35836794954530682</v>
      </c>
      <c r="E124">
        <f t="shared" si="18"/>
        <v>0.15643446504022332</v>
      </c>
      <c r="F124">
        <f t="shared" si="19"/>
        <v>-0.35836794954530682</v>
      </c>
      <c r="G124">
        <f t="shared" si="20"/>
        <v>-5.6061098474681811E-2</v>
      </c>
      <c r="H124">
        <f t="shared" si="21"/>
        <v>5126</v>
      </c>
      <c r="I124">
        <f t="shared" si="22"/>
        <v>5125</v>
      </c>
      <c r="J124">
        <f t="shared" si="23"/>
        <v>-11744</v>
      </c>
      <c r="K124">
        <f t="shared" si="24"/>
        <v>26265625</v>
      </c>
      <c r="L124">
        <f t="shared" si="25"/>
        <v>137921536</v>
      </c>
      <c r="M124">
        <f t="shared" si="26"/>
        <v>-1837</v>
      </c>
      <c r="N124">
        <f t="shared" si="27"/>
        <v>23170</v>
      </c>
      <c r="O124">
        <f t="shared" si="28"/>
        <v>23170</v>
      </c>
      <c r="P124">
        <f t="shared" si="29"/>
        <v>14188</v>
      </c>
    </row>
    <row r="125" spans="1:16" x14ac:dyDescent="0.25">
      <c r="A125">
        <f t="shared" si="30"/>
        <v>119</v>
      </c>
      <c r="B125">
        <f t="shared" si="31"/>
        <v>2.9750000000000023E-2</v>
      </c>
      <c r="C125">
        <f t="shared" si="16"/>
        <v>7.8459095727836894E-2</v>
      </c>
      <c r="D125">
        <f t="shared" si="17"/>
        <v>-0.43051109680830185</v>
      </c>
      <c r="E125">
        <f t="shared" si="18"/>
        <v>7.8459095727836894E-2</v>
      </c>
      <c r="F125">
        <f t="shared" si="19"/>
        <v>-0.43051109680830185</v>
      </c>
      <c r="G125">
        <f t="shared" si="20"/>
        <v>-3.377751135637861E-2</v>
      </c>
      <c r="H125">
        <f t="shared" si="21"/>
        <v>2571</v>
      </c>
      <c r="I125">
        <f t="shared" si="22"/>
        <v>2570</v>
      </c>
      <c r="J125">
        <f t="shared" si="23"/>
        <v>-14107</v>
      </c>
      <c r="K125">
        <f t="shared" si="24"/>
        <v>6604900</v>
      </c>
      <c r="L125">
        <f t="shared" si="25"/>
        <v>199007449</v>
      </c>
      <c r="M125">
        <f t="shared" si="26"/>
        <v>-1107</v>
      </c>
      <c r="N125">
        <f t="shared" si="27"/>
        <v>23170</v>
      </c>
      <c r="O125">
        <f t="shared" si="28"/>
        <v>23170</v>
      </c>
      <c r="P125">
        <f t="shared" si="29"/>
        <v>14188</v>
      </c>
    </row>
    <row r="126" spans="1:16" x14ac:dyDescent="0.25">
      <c r="A126">
        <f t="shared" si="30"/>
        <v>120</v>
      </c>
      <c r="B126">
        <f t="shared" si="31"/>
        <v>3.0000000000000023E-2</v>
      </c>
      <c r="C126">
        <f t="shared" si="16"/>
        <v>-6.7378828211284159E-15</v>
      </c>
      <c r="D126">
        <f t="shared" si="17"/>
        <v>-0.50000000000000533</v>
      </c>
      <c r="E126">
        <f t="shared" si="18"/>
        <v>-6.7378828211284159E-15</v>
      </c>
      <c r="F126">
        <f t="shared" si="19"/>
        <v>-0.50000000000000533</v>
      </c>
      <c r="G126">
        <f t="shared" si="20"/>
        <v>3.3689414105642438E-15</v>
      </c>
      <c r="H126">
        <f t="shared" si="21"/>
        <v>0</v>
      </c>
      <c r="I126">
        <f t="shared" si="22"/>
        <v>-1</v>
      </c>
      <c r="J126">
        <f t="shared" si="23"/>
        <v>-16385</v>
      </c>
      <c r="K126">
        <f t="shared" si="24"/>
        <v>1</v>
      </c>
      <c r="L126">
        <f t="shared" si="25"/>
        <v>268468225</v>
      </c>
      <c r="M126">
        <f t="shared" si="26"/>
        <v>0</v>
      </c>
      <c r="N126">
        <f t="shared" si="27"/>
        <v>23170</v>
      </c>
      <c r="O126">
        <f t="shared" si="28"/>
        <v>23170</v>
      </c>
      <c r="P126">
        <f t="shared" si="29"/>
        <v>14188</v>
      </c>
    </row>
    <row r="127" spans="1:16" x14ac:dyDescent="0.25">
      <c r="A127">
        <f t="shared" si="30"/>
        <v>121</v>
      </c>
      <c r="B127">
        <f t="shared" si="31"/>
        <v>3.0250000000000023E-2</v>
      </c>
      <c r="C127">
        <f t="shared" si="16"/>
        <v>-7.8459095727852105E-2</v>
      </c>
      <c r="D127">
        <f t="shared" si="17"/>
        <v>-0.56640623692483827</v>
      </c>
      <c r="E127">
        <f t="shared" si="18"/>
        <v>-7.8459095727852105E-2</v>
      </c>
      <c r="F127">
        <f t="shared" si="19"/>
        <v>-0.56640623692483827</v>
      </c>
      <c r="G127">
        <f t="shared" si="20"/>
        <v>4.4439721163738365E-2</v>
      </c>
      <c r="H127">
        <f t="shared" si="21"/>
        <v>-2571</v>
      </c>
      <c r="I127">
        <f t="shared" si="22"/>
        <v>-2571</v>
      </c>
      <c r="J127">
        <f t="shared" si="23"/>
        <v>-18560</v>
      </c>
      <c r="K127">
        <f t="shared" si="24"/>
        <v>6610041</v>
      </c>
      <c r="L127">
        <f t="shared" si="25"/>
        <v>344473600</v>
      </c>
      <c r="M127">
        <f t="shared" si="26"/>
        <v>1456</v>
      </c>
      <c r="N127">
        <f t="shared" si="27"/>
        <v>23170</v>
      </c>
      <c r="O127">
        <f t="shared" si="28"/>
        <v>23170</v>
      </c>
      <c r="P127">
        <f t="shared" si="29"/>
        <v>14188</v>
      </c>
    </row>
    <row r="128" spans="1:16" x14ac:dyDescent="0.25">
      <c r="A128">
        <f t="shared" si="30"/>
        <v>122</v>
      </c>
      <c r="B128">
        <f t="shared" si="31"/>
        <v>3.0500000000000024E-2</v>
      </c>
      <c r="C128">
        <f t="shared" si="16"/>
        <v>-0.15643446504023839</v>
      </c>
      <c r="D128">
        <f t="shared" si="17"/>
        <v>-0.62932039104984294</v>
      </c>
      <c r="E128">
        <f t="shared" si="18"/>
        <v>-0.15643446504023839</v>
      </c>
      <c r="F128">
        <f t="shared" si="19"/>
        <v>-0.62932039104984294</v>
      </c>
      <c r="G128">
        <f t="shared" si="20"/>
        <v>9.8447398712795814E-2</v>
      </c>
      <c r="H128">
        <f t="shared" si="21"/>
        <v>-5126</v>
      </c>
      <c r="I128">
        <f t="shared" si="22"/>
        <v>-5127</v>
      </c>
      <c r="J128">
        <f t="shared" si="23"/>
        <v>-20622</v>
      </c>
      <c r="K128">
        <f t="shared" si="24"/>
        <v>26286129</v>
      </c>
      <c r="L128">
        <f t="shared" si="25"/>
        <v>425266884</v>
      </c>
      <c r="M128">
        <f t="shared" si="26"/>
        <v>3226</v>
      </c>
      <c r="N128">
        <f t="shared" si="27"/>
        <v>23170</v>
      </c>
      <c r="O128">
        <f t="shared" si="28"/>
        <v>23170</v>
      </c>
      <c r="P128">
        <f t="shared" si="29"/>
        <v>14188</v>
      </c>
    </row>
    <row r="129" spans="1:16" x14ac:dyDescent="0.25">
      <c r="A129">
        <f t="shared" si="30"/>
        <v>123</v>
      </c>
      <c r="B129">
        <f t="shared" si="31"/>
        <v>3.0750000000000024E-2</v>
      </c>
      <c r="C129">
        <f t="shared" si="16"/>
        <v>-0.23344536385591325</v>
      </c>
      <c r="D129">
        <f t="shared" si="17"/>
        <v>-0.68835457569375935</v>
      </c>
      <c r="E129">
        <f t="shared" si="18"/>
        <v>-0.23344536385591325</v>
      </c>
      <c r="F129">
        <f t="shared" si="19"/>
        <v>-0.68835457569375935</v>
      </c>
      <c r="G129">
        <f t="shared" si="20"/>
        <v>0.16069318438471242</v>
      </c>
      <c r="H129">
        <f t="shared" si="21"/>
        <v>-7650</v>
      </c>
      <c r="I129">
        <f t="shared" si="22"/>
        <v>-7650</v>
      </c>
      <c r="J129">
        <f t="shared" si="23"/>
        <v>-22557</v>
      </c>
      <c r="K129">
        <f t="shared" si="24"/>
        <v>58522500</v>
      </c>
      <c r="L129">
        <f t="shared" si="25"/>
        <v>508818249</v>
      </c>
      <c r="M129">
        <f t="shared" si="26"/>
        <v>5266</v>
      </c>
      <c r="N129">
        <f t="shared" si="27"/>
        <v>23170</v>
      </c>
      <c r="O129">
        <f t="shared" si="28"/>
        <v>23170</v>
      </c>
      <c r="P129">
        <f t="shared" si="29"/>
        <v>14188</v>
      </c>
    </row>
    <row r="130" spans="1:16" x14ac:dyDescent="0.25">
      <c r="A130">
        <f t="shared" si="30"/>
        <v>124</v>
      </c>
      <c r="B130">
        <f t="shared" si="31"/>
        <v>3.1000000000000024E-2</v>
      </c>
      <c r="C130">
        <f t="shared" si="16"/>
        <v>-0.3090169943749555</v>
      </c>
      <c r="D130">
        <f t="shared" si="17"/>
        <v>-0.74314482547739946</v>
      </c>
      <c r="E130">
        <f t="shared" si="18"/>
        <v>-0.3090169943749555</v>
      </c>
      <c r="F130">
        <f t="shared" si="19"/>
        <v>-0.74314482547739946</v>
      </c>
      <c r="G130">
        <f t="shared" si="20"/>
        <v>0.22964438035432683</v>
      </c>
      <c r="H130">
        <f t="shared" si="21"/>
        <v>-10126</v>
      </c>
      <c r="I130">
        <f t="shared" si="22"/>
        <v>-10126</v>
      </c>
      <c r="J130">
        <f t="shared" si="23"/>
        <v>-24352</v>
      </c>
      <c r="K130">
        <f t="shared" si="24"/>
        <v>102535876</v>
      </c>
      <c r="L130">
        <f t="shared" si="25"/>
        <v>593019904</v>
      </c>
      <c r="M130">
        <f t="shared" si="26"/>
        <v>7525</v>
      </c>
      <c r="N130">
        <f t="shared" si="27"/>
        <v>23170</v>
      </c>
      <c r="O130">
        <f t="shared" si="28"/>
        <v>23170</v>
      </c>
      <c r="P130">
        <f t="shared" si="29"/>
        <v>14188</v>
      </c>
    </row>
    <row r="131" spans="1:16" x14ac:dyDescent="0.25">
      <c r="A131">
        <f t="shared" si="30"/>
        <v>125</v>
      </c>
      <c r="B131">
        <f t="shared" si="31"/>
        <v>3.1250000000000021E-2</v>
      </c>
      <c r="C131">
        <f t="shared" si="16"/>
        <v>-0.38268343236509639</v>
      </c>
      <c r="D131">
        <f t="shared" si="17"/>
        <v>-0.79335334029123916</v>
      </c>
      <c r="E131">
        <f t="shared" si="18"/>
        <v>-0.38268343236509639</v>
      </c>
      <c r="F131">
        <f t="shared" si="19"/>
        <v>-0.79335334029123916</v>
      </c>
      <c r="G131">
        <f t="shared" si="20"/>
        <v>0.3036031793409657</v>
      </c>
      <c r="H131">
        <f t="shared" si="21"/>
        <v>-12540</v>
      </c>
      <c r="I131">
        <f t="shared" si="22"/>
        <v>-12540</v>
      </c>
      <c r="J131">
        <f t="shared" si="23"/>
        <v>-25997</v>
      </c>
      <c r="K131">
        <f t="shared" si="24"/>
        <v>157251600</v>
      </c>
      <c r="L131">
        <f t="shared" si="25"/>
        <v>675844009</v>
      </c>
      <c r="M131">
        <f t="shared" si="26"/>
        <v>9948</v>
      </c>
      <c r="N131">
        <f t="shared" si="27"/>
        <v>23170</v>
      </c>
      <c r="O131">
        <f t="shared" si="28"/>
        <v>23170</v>
      </c>
      <c r="P131">
        <f t="shared" si="29"/>
        <v>14188</v>
      </c>
    </row>
    <row r="132" spans="1:16" x14ac:dyDescent="0.25">
      <c r="A132">
        <f t="shared" si="30"/>
        <v>126</v>
      </c>
      <c r="B132">
        <f t="shared" si="31"/>
        <v>3.1500000000000021E-2</v>
      </c>
      <c r="C132">
        <f t="shared" si="16"/>
        <v>-0.45399049973955197</v>
      </c>
      <c r="D132">
        <f t="shared" si="17"/>
        <v>-0.83867056794542683</v>
      </c>
      <c r="E132">
        <f t="shared" si="18"/>
        <v>-0.45399049973955197</v>
      </c>
      <c r="F132">
        <f t="shared" si="19"/>
        <v>-0.83867056794542683</v>
      </c>
      <c r="G132">
        <f t="shared" si="20"/>
        <v>0.3807484702583982</v>
      </c>
      <c r="H132">
        <f t="shared" si="21"/>
        <v>-14876</v>
      </c>
      <c r="I132">
        <f t="shared" si="22"/>
        <v>-14877</v>
      </c>
      <c r="J132">
        <f t="shared" si="23"/>
        <v>-27482</v>
      </c>
      <c r="K132">
        <f t="shared" si="24"/>
        <v>221325129</v>
      </c>
      <c r="L132">
        <f t="shared" si="25"/>
        <v>755260324</v>
      </c>
      <c r="M132">
        <f t="shared" si="26"/>
        <v>12477</v>
      </c>
      <c r="N132">
        <f t="shared" si="27"/>
        <v>23170</v>
      </c>
      <c r="O132">
        <f t="shared" si="28"/>
        <v>23170</v>
      </c>
      <c r="P132">
        <f t="shared" si="29"/>
        <v>14188</v>
      </c>
    </row>
    <row r="133" spans="1:16" x14ac:dyDescent="0.25">
      <c r="A133">
        <f t="shared" si="30"/>
        <v>127</v>
      </c>
      <c r="B133">
        <f t="shared" si="31"/>
        <v>3.1750000000000021E-2</v>
      </c>
      <c r="C133">
        <f t="shared" si="16"/>
        <v>-0.52249856471595424</v>
      </c>
      <c r="D133">
        <f t="shared" si="17"/>
        <v>-0.87881711266196805</v>
      </c>
      <c r="E133">
        <f t="shared" si="18"/>
        <v>-0.52249856471595424</v>
      </c>
      <c r="F133">
        <f t="shared" si="19"/>
        <v>-0.87881711266196805</v>
      </c>
      <c r="G133">
        <f t="shared" si="20"/>
        <v>0.45918068001369738</v>
      </c>
      <c r="H133">
        <f t="shared" si="21"/>
        <v>-17121</v>
      </c>
      <c r="I133">
        <f t="shared" si="22"/>
        <v>-17122</v>
      </c>
      <c r="J133">
        <f t="shared" si="23"/>
        <v>-28798</v>
      </c>
      <c r="K133">
        <f t="shared" si="24"/>
        <v>293162884</v>
      </c>
      <c r="L133">
        <f t="shared" si="25"/>
        <v>829324804</v>
      </c>
      <c r="M133">
        <f t="shared" si="26"/>
        <v>15047</v>
      </c>
      <c r="N133">
        <f t="shared" si="27"/>
        <v>23170</v>
      </c>
      <c r="O133">
        <f t="shared" si="28"/>
        <v>23170</v>
      </c>
      <c r="P133">
        <f t="shared" si="29"/>
        <v>14188</v>
      </c>
    </row>
    <row r="134" spans="1:16" x14ac:dyDescent="0.25">
      <c r="A134">
        <f t="shared" si="30"/>
        <v>128</v>
      </c>
      <c r="B134">
        <f t="shared" si="31"/>
        <v>3.2000000000000021E-2</v>
      </c>
      <c r="C134">
        <f t="shared" si="16"/>
        <v>-0.58778525229247858</v>
      </c>
      <c r="D134">
        <f t="shared" si="17"/>
        <v>-0.91354545764260342</v>
      </c>
      <c r="E134">
        <f t="shared" si="18"/>
        <v>-0.58778525229247858</v>
      </c>
      <c r="F134">
        <f t="shared" si="19"/>
        <v>-0.91354545764260342</v>
      </c>
      <c r="G134">
        <f t="shared" si="20"/>
        <v>0.53696854730110544</v>
      </c>
      <c r="H134">
        <f t="shared" si="21"/>
        <v>-19261</v>
      </c>
      <c r="I134">
        <f t="shared" si="22"/>
        <v>-19261</v>
      </c>
      <c r="J134">
        <f t="shared" si="23"/>
        <v>-29936</v>
      </c>
      <c r="K134">
        <f t="shared" si="24"/>
        <v>370986121</v>
      </c>
      <c r="L134">
        <f t="shared" si="25"/>
        <v>896164096</v>
      </c>
      <c r="M134">
        <f t="shared" si="26"/>
        <v>17596</v>
      </c>
      <c r="N134">
        <f t="shared" si="27"/>
        <v>23170</v>
      </c>
      <c r="O134">
        <f t="shared" si="28"/>
        <v>23170</v>
      </c>
      <c r="P134">
        <f t="shared" si="29"/>
        <v>14188</v>
      </c>
    </row>
    <row r="135" spans="1:16" x14ac:dyDescent="0.25">
      <c r="A135">
        <f t="shared" si="30"/>
        <v>129</v>
      </c>
      <c r="B135">
        <f t="shared" si="31"/>
        <v>3.2250000000000022E-2</v>
      </c>
      <c r="C135">
        <f t="shared" ref="C135:C198" si="32">SIN(2*PI()*$C$4*B135)</f>
        <v>-0.6494480483301891</v>
      </c>
      <c r="D135">
        <f t="shared" ref="D135:D198" si="33">SIN(2*PI()*$C$4*B135+$C$3*PI()/180)</f>
        <v>-0.94264149109218054</v>
      </c>
      <c r="E135">
        <f t="shared" ref="E135:E198" si="34">C135*$C$1</f>
        <v>-0.6494480483301891</v>
      </c>
      <c r="F135">
        <f t="shared" ref="F135:F198" si="35">D135*$C$2</f>
        <v>-0.94264149109218054</v>
      </c>
      <c r="G135">
        <f t="shared" ref="G135:G198" si="36">E135*F135</f>
        <v>0.61219667666487598</v>
      </c>
      <c r="H135">
        <f t="shared" ref="H135:H198" si="37">IF(C135&gt;0,ROUND(C135*$F$2,0),ROUND(C135*$F$1,0))</f>
        <v>-21281</v>
      </c>
      <c r="I135">
        <f t="shared" ref="I135:I198" si="38">IF(E135&gt;0,_xlfn.FLOOR.MATH(E135*$F$2),_xlfn.FLOOR.MATH(E135*$F$1))</f>
        <v>-21282</v>
      </c>
      <c r="J135">
        <f t="shared" ref="J135:J198" si="39">IF(F135&gt;0,_xlfn.FLOOR.MATH(F135*$F$2),_xlfn.FLOOR.MATH(F135*$F$1))</f>
        <v>-30889</v>
      </c>
      <c r="K135">
        <f t="shared" ref="K135:K198" si="40">_xlfn.FLOOR.MATH(I135*I135)</f>
        <v>452923524</v>
      </c>
      <c r="L135">
        <f t="shared" ref="L135:L198" si="41">_xlfn.FLOOR.MATH(J135*J135)</f>
        <v>954130321</v>
      </c>
      <c r="M135">
        <f t="shared" ref="M135:M198" si="42">_xlfn.FLOOR.MATH((I135*J135)/$F$1)</f>
        <v>20061</v>
      </c>
      <c r="N135">
        <f t="shared" ref="N135:N198" si="43">_xlfn.FLOOR.MATH(SQRT(SUM(K135:K294)/160))</f>
        <v>23170</v>
      </c>
      <c r="O135">
        <f t="shared" ref="O135:O198" si="44">_xlfn.FLOOR.MATH(SQRT(SUM(L135:L214)/$F$3))</f>
        <v>23170</v>
      </c>
      <c r="P135">
        <f t="shared" ref="P135:P198" si="45">_xlfn.FLOOR.MATH(SUM(M135:M214)/$F$3)</f>
        <v>14188</v>
      </c>
    </row>
    <row r="136" spans="1:16" x14ac:dyDescent="0.25">
      <c r="A136">
        <f t="shared" ref="A136:A199" si="46">A135+1</f>
        <v>130</v>
      </c>
      <c r="B136">
        <f t="shared" ref="B136:B199" si="47">B135+(1/4000)</f>
        <v>3.2500000000000022E-2</v>
      </c>
      <c r="C136">
        <f t="shared" si="32"/>
        <v>-0.7071067811865529</v>
      </c>
      <c r="D136">
        <f t="shared" si="33"/>
        <v>-0.96592582628907009</v>
      </c>
      <c r="E136">
        <f t="shared" si="34"/>
        <v>-0.7071067811865529</v>
      </c>
      <c r="F136">
        <f t="shared" si="35"/>
        <v>-0.96592582628907009</v>
      </c>
      <c r="G136">
        <f t="shared" si="36"/>
        <v>0.68301270189222574</v>
      </c>
      <c r="H136">
        <f t="shared" si="37"/>
        <v>-23170</v>
      </c>
      <c r="I136">
        <f t="shared" si="38"/>
        <v>-23171</v>
      </c>
      <c r="J136">
        <f t="shared" si="39"/>
        <v>-31652</v>
      </c>
      <c r="K136">
        <f t="shared" si="40"/>
        <v>536895241</v>
      </c>
      <c r="L136">
        <f t="shared" si="41"/>
        <v>1001849104</v>
      </c>
      <c r="M136">
        <f t="shared" si="42"/>
        <v>22381</v>
      </c>
      <c r="N136">
        <f t="shared" si="43"/>
        <v>23170</v>
      </c>
      <c r="O136">
        <f t="shared" si="44"/>
        <v>23170</v>
      </c>
      <c r="P136">
        <f t="shared" si="45"/>
        <v>14188</v>
      </c>
    </row>
    <row r="137" spans="1:16" x14ac:dyDescent="0.25">
      <c r="A137">
        <f t="shared" si="46"/>
        <v>131</v>
      </c>
      <c r="B137">
        <f t="shared" si="47"/>
        <v>3.2750000000000022E-2</v>
      </c>
      <c r="C137">
        <f t="shared" si="32"/>
        <v>-0.76040596560003504</v>
      </c>
      <c r="D137">
        <f t="shared" si="33"/>
        <v>-0.98325490756395562</v>
      </c>
      <c r="E137">
        <f t="shared" si="34"/>
        <v>-0.76040596560003504</v>
      </c>
      <c r="F137">
        <f t="shared" si="35"/>
        <v>-0.98325490756395562</v>
      </c>
      <c r="G137">
        <f t="shared" si="36"/>
        <v>0.74767289741714282</v>
      </c>
      <c r="H137">
        <f t="shared" si="37"/>
        <v>-24917</v>
      </c>
      <c r="I137">
        <f t="shared" si="38"/>
        <v>-24917</v>
      </c>
      <c r="J137">
        <f t="shared" si="39"/>
        <v>-32220</v>
      </c>
      <c r="K137">
        <f t="shared" si="40"/>
        <v>620856889</v>
      </c>
      <c r="L137">
        <f t="shared" si="41"/>
        <v>1038128400</v>
      </c>
      <c r="M137">
        <f t="shared" si="42"/>
        <v>24500</v>
      </c>
      <c r="N137">
        <f t="shared" si="43"/>
        <v>23170</v>
      </c>
      <c r="O137">
        <f t="shared" si="44"/>
        <v>23170</v>
      </c>
      <c r="P137">
        <f t="shared" si="45"/>
        <v>14188</v>
      </c>
    </row>
    <row r="138" spans="1:16" x14ac:dyDescent="0.25">
      <c r="A138">
        <f t="shared" si="46"/>
        <v>132</v>
      </c>
      <c r="B138">
        <f t="shared" si="47"/>
        <v>3.3000000000000022E-2</v>
      </c>
      <c r="C138">
        <f t="shared" si="32"/>
        <v>-0.80901699437495134</v>
      </c>
      <c r="D138">
        <f t="shared" si="33"/>
        <v>-0.99452189536827396</v>
      </c>
      <c r="E138">
        <f t="shared" si="34"/>
        <v>-0.80901699437495134</v>
      </c>
      <c r="F138">
        <f t="shared" si="35"/>
        <v>-0.99452189536827396</v>
      </c>
      <c r="G138">
        <f t="shared" si="36"/>
        <v>0.80458511463092086</v>
      </c>
      <c r="H138">
        <f t="shared" si="37"/>
        <v>-26510</v>
      </c>
      <c r="I138">
        <f t="shared" si="38"/>
        <v>-26510</v>
      </c>
      <c r="J138">
        <f t="shared" si="39"/>
        <v>-32589</v>
      </c>
      <c r="K138">
        <f t="shared" si="40"/>
        <v>702780100</v>
      </c>
      <c r="L138">
        <f t="shared" si="41"/>
        <v>1062042921</v>
      </c>
      <c r="M138">
        <f t="shared" si="42"/>
        <v>26365</v>
      </c>
      <c r="N138">
        <f t="shared" si="43"/>
        <v>23170</v>
      </c>
      <c r="O138">
        <f t="shared" si="44"/>
        <v>23170</v>
      </c>
      <c r="P138">
        <f t="shared" si="45"/>
        <v>14188</v>
      </c>
    </row>
    <row r="139" spans="1:16" x14ac:dyDescent="0.25">
      <c r="A139">
        <f t="shared" si="46"/>
        <v>133</v>
      </c>
      <c r="B139">
        <f t="shared" si="47"/>
        <v>3.3250000000000023E-2</v>
      </c>
      <c r="C139">
        <f t="shared" si="32"/>
        <v>-0.85264016435409595</v>
      </c>
      <c r="D139">
        <f t="shared" si="33"/>
        <v>-0.99965732497555748</v>
      </c>
      <c r="E139">
        <f t="shared" si="34"/>
        <v>-0.85264016435409595</v>
      </c>
      <c r="F139">
        <f t="shared" si="35"/>
        <v>-0.99965732497555748</v>
      </c>
      <c r="G139">
        <f t="shared" si="36"/>
        <v>0.85234798586493521</v>
      </c>
      <c r="H139">
        <f t="shared" si="37"/>
        <v>-27939</v>
      </c>
      <c r="I139">
        <f t="shared" si="38"/>
        <v>-27940</v>
      </c>
      <c r="J139">
        <f t="shared" si="39"/>
        <v>-32757</v>
      </c>
      <c r="K139">
        <f t="shared" si="40"/>
        <v>780643600</v>
      </c>
      <c r="L139">
        <f t="shared" si="41"/>
        <v>1073021049</v>
      </c>
      <c r="M139">
        <f t="shared" si="42"/>
        <v>27930</v>
      </c>
      <c r="N139">
        <f t="shared" si="43"/>
        <v>23170</v>
      </c>
      <c r="O139">
        <f t="shared" si="44"/>
        <v>23170</v>
      </c>
      <c r="P139">
        <f t="shared" si="45"/>
        <v>14188</v>
      </c>
    </row>
    <row r="140" spans="1:16" x14ac:dyDescent="0.25">
      <c r="A140">
        <f t="shared" si="46"/>
        <v>134</v>
      </c>
      <c r="B140">
        <f t="shared" si="47"/>
        <v>3.3500000000000023E-2</v>
      </c>
      <c r="C140">
        <f t="shared" si="32"/>
        <v>-0.89100652418837134</v>
      </c>
      <c r="D140">
        <f t="shared" si="33"/>
        <v>-0.9986295347545735</v>
      </c>
      <c r="E140">
        <f t="shared" si="34"/>
        <v>-0.89100652418837134</v>
      </c>
      <c r="F140">
        <f t="shared" si="35"/>
        <v>-0.9986295347545735</v>
      </c>
      <c r="G140">
        <f t="shared" si="36"/>
        <v>0.8897854307135229</v>
      </c>
      <c r="H140">
        <f t="shared" si="37"/>
        <v>-29197</v>
      </c>
      <c r="I140">
        <f t="shared" si="38"/>
        <v>-29197</v>
      </c>
      <c r="J140">
        <f t="shared" si="39"/>
        <v>-32724</v>
      </c>
      <c r="K140">
        <f t="shared" si="40"/>
        <v>852464809</v>
      </c>
      <c r="L140">
        <f t="shared" si="41"/>
        <v>1070860176</v>
      </c>
      <c r="M140">
        <f t="shared" si="42"/>
        <v>29157</v>
      </c>
      <c r="N140">
        <f t="shared" si="43"/>
        <v>23170</v>
      </c>
      <c r="O140">
        <f t="shared" si="44"/>
        <v>23170</v>
      </c>
      <c r="P140">
        <f t="shared" si="45"/>
        <v>14188</v>
      </c>
    </row>
    <row r="141" spans="1:16" x14ac:dyDescent="0.25">
      <c r="A141">
        <f t="shared" si="46"/>
        <v>135</v>
      </c>
      <c r="B141">
        <f t="shared" si="47"/>
        <v>3.3750000000000023E-2</v>
      </c>
      <c r="C141">
        <f t="shared" si="32"/>
        <v>-0.92387953251128985</v>
      </c>
      <c r="D141">
        <f t="shared" si="33"/>
        <v>-0.99144486137380949</v>
      </c>
      <c r="E141">
        <f t="shared" si="34"/>
        <v>-0.92387953251128985</v>
      </c>
      <c r="F141">
        <f t="shared" si="35"/>
        <v>-0.99144486137380949</v>
      </c>
      <c r="G141">
        <f t="shared" si="36"/>
        <v>0.91597561503675573</v>
      </c>
      <c r="H141">
        <f t="shared" si="37"/>
        <v>-30274</v>
      </c>
      <c r="I141">
        <f t="shared" si="38"/>
        <v>-30274</v>
      </c>
      <c r="J141">
        <f t="shared" si="39"/>
        <v>-32488</v>
      </c>
      <c r="K141">
        <f t="shared" si="40"/>
        <v>916515076</v>
      </c>
      <c r="L141">
        <f t="shared" si="41"/>
        <v>1055470144</v>
      </c>
      <c r="M141">
        <f t="shared" si="42"/>
        <v>30015</v>
      </c>
      <c r="N141">
        <f t="shared" si="43"/>
        <v>23170</v>
      </c>
      <c r="O141">
        <f t="shared" si="44"/>
        <v>23170</v>
      </c>
      <c r="P141">
        <f t="shared" si="45"/>
        <v>14188</v>
      </c>
    </row>
    <row r="142" spans="1:16" x14ac:dyDescent="0.25">
      <c r="A142">
        <f t="shared" si="46"/>
        <v>136</v>
      </c>
      <c r="B142">
        <f t="shared" si="47"/>
        <v>3.4000000000000023E-2</v>
      </c>
      <c r="C142">
        <f t="shared" si="32"/>
        <v>-0.95105651629515564</v>
      </c>
      <c r="D142">
        <f t="shared" si="33"/>
        <v>-0.97814760073380436</v>
      </c>
      <c r="E142">
        <f t="shared" si="34"/>
        <v>-0.95105651629515564</v>
      </c>
      <c r="F142">
        <f t="shared" si="35"/>
        <v>-0.97814760073380436</v>
      </c>
      <c r="G142">
        <f t="shared" si="36"/>
        <v>0.93027364957635683</v>
      </c>
      <c r="H142">
        <f t="shared" si="37"/>
        <v>-31164</v>
      </c>
      <c r="I142">
        <f t="shared" si="38"/>
        <v>-31165</v>
      </c>
      <c r="J142">
        <f t="shared" si="39"/>
        <v>-32052</v>
      </c>
      <c r="K142">
        <f t="shared" si="40"/>
        <v>971257225</v>
      </c>
      <c r="L142">
        <f t="shared" si="41"/>
        <v>1027330704</v>
      </c>
      <c r="M142">
        <f t="shared" si="42"/>
        <v>30484</v>
      </c>
      <c r="N142">
        <f t="shared" si="43"/>
        <v>23170</v>
      </c>
      <c r="O142">
        <f t="shared" si="44"/>
        <v>23170</v>
      </c>
      <c r="P142">
        <f t="shared" si="45"/>
        <v>14188</v>
      </c>
    </row>
    <row r="143" spans="1:16" x14ac:dyDescent="0.25">
      <c r="A143">
        <f t="shared" si="46"/>
        <v>137</v>
      </c>
      <c r="B143">
        <f t="shared" si="47"/>
        <v>3.4250000000000023E-2</v>
      </c>
      <c r="C143">
        <f t="shared" si="32"/>
        <v>-0.97236992039767822</v>
      </c>
      <c r="D143">
        <f t="shared" si="33"/>
        <v>-0.95881973486819116</v>
      </c>
      <c r="E143">
        <f t="shared" si="34"/>
        <v>-0.97236992039767822</v>
      </c>
      <c r="F143">
        <f t="shared" si="35"/>
        <v>-0.95881973486819116</v>
      </c>
      <c r="G143">
        <f t="shared" si="36"/>
        <v>0.93232746926950594</v>
      </c>
      <c r="H143">
        <f t="shared" si="37"/>
        <v>-31863</v>
      </c>
      <c r="I143">
        <f t="shared" si="38"/>
        <v>-31863</v>
      </c>
      <c r="J143">
        <f t="shared" si="39"/>
        <v>-31419</v>
      </c>
      <c r="K143">
        <f t="shared" si="40"/>
        <v>1015250769</v>
      </c>
      <c r="L143">
        <f t="shared" si="41"/>
        <v>987153561</v>
      </c>
      <c r="M143">
        <f t="shared" si="42"/>
        <v>30551</v>
      </c>
      <c r="N143">
        <f t="shared" si="43"/>
        <v>23170</v>
      </c>
      <c r="O143">
        <f t="shared" si="44"/>
        <v>23170</v>
      </c>
      <c r="P143">
        <f t="shared" si="45"/>
        <v>14188</v>
      </c>
    </row>
    <row r="144" spans="1:16" x14ac:dyDescent="0.25">
      <c r="A144">
        <f t="shared" si="46"/>
        <v>138</v>
      </c>
      <c r="B144">
        <f t="shared" si="47"/>
        <v>3.4500000000000024E-2</v>
      </c>
      <c r="C144">
        <f t="shared" si="32"/>
        <v>-0.98768834059513888</v>
      </c>
      <c r="D144">
        <f t="shared" si="33"/>
        <v>-0.9335804264971993</v>
      </c>
      <c r="E144">
        <f t="shared" si="34"/>
        <v>-0.98768834059513888</v>
      </c>
      <c r="F144">
        <f t="shared" si="35"/>
        <v>-0.9335804264971993</v>
      </c>
      <c r="G144">
        <f t="shared" si="36"/>
        <v>0.92208650225912081</v>
      </c>
      <c r="H144">
        <f t="shared" si="37"/>
        <v>-32365</v>
      </c>
      <c r="I144">
        <f t="shared" si="38"/>
        <v>-32365</v>
      </c>
      <c r="J144">
        <f t="shared" si="39"/>
        <v>-30592</v>
      </c>
      <c r="K144">
        <f t="shared" si="40"/>
        <v>1047493225</v>
      </c>
      <c r="L144">
        <f t="shared" si="41"/>
        <v>935870464</v>
      </c>
      <c r="M144">
        <f t="shared" si="42"/>
        <v>30215</v>
      </c>
      <c r="N144">
        <f t="shared" si="43"/>
        <v>23170</v>
      </c>
      <c r="O144">
        <f t="shared" si="44"/>
        <v>23170</v>
      </c>
      <c r="P144">
        <f t="shared" si="45"/>
        <v>14188</v>
      </c>
    </row>
    <row r="145" spans="1:16" x14ac:dyDescent="0.25">
      <c r="A145">
        <f t="shared" si="46"/>
        <v>139</v>
      </c>
      <c r="B145">
        <f t="shared" si="47"/>
        <v>3.4750000000000024E-2</v>
      </c>
      <c r="C145">
        <f t="shared" si="32"/>
        <v>-0.99691733373312863</v>
      </c>
      <c r="D145">
        <f t="shared" si="33"/>
        <v>-0.90258528434985741</v>
      </c>
      <c r="E145">
        <f t="shared" si="34"/>
        <v>-0.99691733373312863</v>
      </c>
      <c r="F145">
        <f t="shared" si="35"/>
        <v>-0.90258528434985741</v>
      </c>
      <c r="G145">
        <f t="shared" si="36"/>
        <v>0.89980291514081756</v>
      </c>
      <c r="H145">
        <f t="shared" si="37"/>
        <v>-32667</v>
      </c>
      <c r="I145">
        <f t="shared" si="38"/>
        <v>-32667</v>
      </c>
      <c r="J145">
        <f t="shared" si="39"/>
        <v>-29576</v>
      </c>
      <c r="K145">
        <f t="shared" si="40"/>
        <v>1067132889</v>
      </c>
      <c r="L145">
        <f t="shared" si="41"/>
        <v>874739776</v>
      </c>
      <c r="M145">
        <f t="shared" si="42"/>
        <v>29484</v>
      </c>
      <c r="N145">
        <f t="shared" si="43"/>
        <v>23170</v>
      </c>
      <c r="O145">
        <f t="shared" si="44"/>
        <v>23170</v>
      </c>
      <c r="P145">
        <f t="shared" si="45"/>
        <v>14188</v>
      </c>
    </row>
    <row r="146" spans="1:16" x14ac:dyDescent="0.25">
      <c r="A146">
        <f t="shared" si="46"/>
        <v>140</v>
      </c>
      <c r="B146">
        <f t="shared" si="47"/>
        <v>3.5000000000000024E-2</v>
      </c>
      <c r="C146">
        <f t="shared" si="32"/>
        <v>-1</v>
      </c>
      <c r="D146">
        <f t="shared" si="33"/>
        <v>-0.86602540378443471</v>
      </c>
      <c r="E146">
        <f t="shared" si="34"/>
        <v>-1</v>
      </c>
      <c r="F146">
        <f t="shared" si="35"/>
        <v>-0.86602540378443471</v>
      </c>
      <c r="G146">
        <f t="shared" si="36"/>
        <v>0.86602540378443471</v>
      </c>
      <c r="H146">
        <f t="shared" si="37"/>
        <v>-32768</v>
      </c>
      <c r="I146">
        <f t="shared" si="38"/>
        <v>-32768</v>
      </c>
      <c r="J146">
        <f t="shared" si="39"/>
        <v>-28378</v>
      </c>
      <c r="K146">
        <f t="shared" si="40"/>
        <v>1073741824</v>
      </c>
      <c r="L146">
        <f t="shared" si="41"/>
        <v>805310884</v>
      </c>
      <c r="M146">
        <f t="shared" si="42"/>
        <v>28378</v>
      </c>
      <c r="N146">
        <f t="shared" si="43"/>
        <v>23170</v>
      </c>
      <c r="O146">
        <f t="shared" si="44"/>
        <v>23170</v>
      </c>
      <c r="P146">
        <f t="shared" si="45"/>
        <v>14188</v>
      </c>
    </row>
    <row r="147" spans="1:16" x14ac:dyDescent="0.25">
      <c r="A147">
        <f t="shared" si="46"/>
        <v>141</v>
      </c>
      <c r="B147">
        <f t="shared" si="47"/>
        <v>3.5250000000000024E-2</v>
      </c>
      <c r="C147">
        <f t="shared" si="32"/>
        <v>-0.99691733373312741</v>
      </c>
      <c r="D147">
        <f t="shared" si="33"/>
        <v>-0.82412618862201192</v>
      </c>
      <c r="E147">
        <f t="shared" si="34"/>
        <v>-0.99691733373312741</v>
      </c>
      <c r="F147">
        <f t="shared" si="35"/>
        <v>-0.82412618862201192</v>
      </c>
      <c r="G147">
        <f t="shared" si="36"/>
        <v>0.82158568262070053</v>
      </c>
      <c r="H147">
        <f t="shared" si="37"/>
        <v>-32667</v>
      </c>
      <c r="I147">
        <f t="shared" si="38"/>
        <v>-32667</v>
      </c>
      <c r="J147">
        <f t="shared" si="39"/>
        <v>-27005</v>
      </c>
      <c r="K147">
        <f t="shared" si="40"/>
        <v>1067132889</v>
      </c>
      <c r="L147">
        <f t="shared" si="41"/>
        <v>729270025</v>
      </c>
      <c r="M147">
        <f t="shared" si="42"/>
        <v>26921</v>
      </c>
      <c r="N147">
        <f t="shared" si="43"/>
        <v>23170</v>
      </c>
      <c r="O147">
        <f t="shared" si="44"/>
        <v>23170</v>
      </c>
      <c r="P147">
        <f t="shared" si="45"/>
        <v>14188</v>
      </c>
    </row>
    <row r="148" spans="1:16" x14ac:dyDescent="0.25">
      <c r="A148">
        <f t="shared" si="46"/>
        <v>142</v>
      </c>
      <c r="B148">
        <f t="shared" si="47"/>
        <v>3.5500000000000025E-2</v>
      </c>
      <c r="C148">
        <f t="shared" si="32"/>
        <v>-0.98768834059513655</v>
      </c>
      <c r="D148">
        <f t="shared" si="33"/>
        <v>-0.77714596145696646</v>
      </c>
      <c r="E148">
        <f t="shared" si="34"/>
        <v>-0.98768834059513655</v>
      </c>
      <c r="F148">
        <f t="shared" si="35"/>
        <v>-0.77714596145696646</v>
      </c>
      <c r="G148">
        <f t="shared" si="36"/>
        <v>0.7675780050716432</v>
      </c>
      <c r="H148">
        <f t="shared" si="37"/>
        <v>-32365</v>
      </c>
      <c r="I148">
        <f t="shared" si="38"/>
        <v>-32365</v>
      </c>
      <c r="J148">
        <f t="shared" si="39"/>
        <v>-25466</v>
      </c>
      <c r="K148">
        <f t="shared" si="40"/>
        <v>1047493225</v>
      </c>
      <c r="L148">
        <f t="shared" si="41"/>
        <v>648517156</v>
      </c>
      <c r="M148">
        <f t="shared" si="42"/>
        <v>25152</v>
      </c>
      <c r="N148">
        <f t="shared" si="43"/>
        <v>23170</v>
      </c>
      <c r="O148">
        <f t="shared" si="44"/>
        <v>23170</v>
      </c>
      <c r="P148">
        <f t="shared" si="45"/>
        <v>14188</v>
      </c>
    </row>
    <row r="149" spans="1:16" x14ac:dyDescent="0.25">
      <c r="A149">
        <f t="shared" si="46"/>
        <v>143</v>
      </c>
      <c r="B149">
        <f t="shared" si="47"/>
        <v>3.5750000000000025E-2</v>
      </c>
      <c r="C149">
        <f t="shared" si="32"/>
        <v>-0.97236992039767478</v>
      </c>
      <c r="D149">
        <f t="shared" si="33"/>
        <v>-0.72537437101228253</v>
      </c>
      <c r="E149">
        <f t="shared" si="34"/>
        <v>-0.97236992039767478</v>
      </c>
      <c r="F149">
        <f t="shared" si="35"/>
        <v>-0.72537437101228253</v>
      </c>
      <c r="G149">
        <f t="shared" si="36"/>
        <v>0.70533221939972657</v>
      </c>
      <c r="H149">
        <f t="shared" si="37"/>
        <v>-31863</v>
      </c>
      <c r="I149">
        <f t="shared" si="38"/>
        <v>-31863</v>
      </c>
      <c r="J149">
        <f t="shared" si="39"/>
        <v>-23770</v>
      </c>
      <c r="K149">
        <f t="shared" si="40"/>
        <v>1015250769</v>
      </c>
      <c r="L149">
        <f t="shared" si="41"/>
        <v>565012900</v>
      </c>
      <c r="M149">
        <f t="shared" si="42"/>
        <v>23113</v>
      </c>
      <c r="N149">
        <f t="shared" si="43"/>
        <v>23170</v>
      </c>
      <c r="O149">
        <f t="shared" si="44"/>
        <v>23170</v>
      </c>
      <c r="P149">
        <f t="shared" si="45"/>
        <v>14188</v>
      </c>
    </row>
    <row r="150" spans="1:16" x14ac:dyDescent="0.25">
      <c r="A150">
        <f t="shared" si="46"/>
        <v>144</v>
      </c>
      <c r="B150">
        <f t="shared" si="47"/>
        <v>3.6000000000000025E-2</v>
      </c>
      <c r="C150">
        <f t="shared" si="32"/>
        <v>-0.95105651629515098</v>
      </c>
      <c r="D150">
        <f t="shared" si="33"/>
        <v>-0.66913060635885235</v>
      </c>
      <c r="E150">
        <f t="shared" si="34"/>
        <v>-0.95105651629515098</v>
      </c>
      <c r="F150">
        <f t="shared" si="35"/>
        <v>-0.66913060635885235</v>
      </c>
      <c r="G150">
        <f t="shared" si="36"/>
        <v>0.63638102343011216</v>
      </c>
      <c r="H150">
        <f t="shared" si="37"/>
        <v>-31164</v>
      </c>
      <c r="I150">
        <f t="shared" si="38"/>
        <v>-31165</v>
      </c>
      <c r="J150">
        <f t="shared" si="39"/>
        <v>-21927</v>
      </c>
      <c r="K150">
        <f t="shared" si="40"/>
        <v>971257225</v>
      </c>
      <c r="L150">
        <f t="shared" si="41"/>
        <v>480793329</v>
      </c>
      <c r="M150">
        <f t="shared" si="42"/>
        <v>20854</v>
      </c>
      <c r="N150">
        <f t="shared" si="43"/>
        <v>23170</v>
      </c>
      <c r="O150">
        <f t="shared" si="44"/>
        <v>23170</v>
      </c>
      <c r="P150">
        <f t="shared" si="45"/>
        <v>14188</v>
      </c>
    </row>
    <row r="151" spans="1:16" x14ac:dyDescent="0.25">
      <c r="A151">
        <f t="shared" si="46"/>
        <v>145</v>
      </c>
      <c r="B151">
        <f t="shared" si="47"/>
        <v>3.6250000000000025E-2</v>
      </c>
      <c r="C151">
        <f t="shared" si="32"/>
        <v>-0.92387953251128341</v>
      </c>
      <c r="D151">
        <f t="shared" si="33"/>
        <v>-0.60876142900871411</v>
      </c>
      <c r="E151">
        <f t="shared" si="34"/>
        <v>-0.92387953251128341</v>
      </c>
      <c r="F151">
        <f t="shared" si="35"/>
        <v>-0.60876142900871411</v>
      </c>
      <c r="G151">
        <f t="shared" si="36"/>
        <v>0.56242222444347167</v>
      </c>
      <c r="H151">
        <f t="shared" si="37"/>
        <v>-30274</v>
      </c>
      <c r="I151">
        <f t="shared" si="38"/>
        <v>-30274</v>
      </c>
      <c r="J151">
        <f t="shared" si="39"/>
        <v>-19948</v>
      </c>
      <c r="K151">
        <f t="shared" si="40"/>
        <v>916515076</v>
      </c>
      <c r="L151">
        <f t="shared" si="41"/>
        <v>397922704</v>
      </c>
      <c r="M151">
        <f t="shared" si="42"/>
        <v>18429</v>
      </c>
      <c r="N151">
        <f t="shared" si="43"/>
        <v>23170</v>
      </c>
      <c r="O151">
        <f t="shared" si="44"/>
        <v>23170</v>
      </c>
      <c r="P151">
        <f t="shared" si="45"/>
        <v>14188</v>
      </c>
    </row>
    <row r="152" spans="1:16" x14ac:dyDescent="0.25">
      <c r="A152">
        <f t="shared" si="46"/>
        <v>146</v>
      </c>
      <c r="B152">
        <f t="shared" si="47"/>
        <v>3.6500000000000025E-2</v>
      </c>
      <c r="C152">
        <f t="shared" si="32"/>
        <v>-0.89100652418836446</v>
      </c>
      <c r="D152">
        <f t="shared" si="33"/>
        <v>-0.54463903501502131</v>
      </c>
      <c r="E152">
        <f t="shared" si="34"/>
        <v>-0.89100652418836446</v>
      </c>
      <c r="F152">
        <f t="shared" si="35"/>
        <v>-0.54463903501502131</v>
      </c>
      <c r="G152">
        <f t="shared" si="36"/>
        <v>0.48527693352603907</v>
      </c>
      <c r="H152">
        <f t="shared" si="37"/>
        <v>-29197</v>
      </c>
      <c r="I152">
        <f t="shared" si="38"/>
        <v>-29197</v>
      </c>
      <c r="J152">
        <f t="shared" si="39"/>
        <v>-17847</v>
      </c>
      <c r="K152">
        <f t="shared" si="40"/>
        <v>852464809</v>
      </c>
      <c r="L152">
        <f t="shared" si="41"/>
        <v>318515409</v>
      </c>
      <c r="M152">
        <f t="shared" si="42"/>
        <v>15902</v>
      </c>
      <c r="N152">
        <f t="shared" si="43"/>
        <v>23170</v>
      </c>
      <c r="O152">
        <f t="shared" si="44"/>
        <v>23170</v>
      </c>
      <c r="P152">
        <f t="shared" si="45"/>
        <v>14188</v>
      </c>
    </row>
    <row r="153" spans="1:16" x14ac:dyDescent="0.25">
      <c r="A153">
        <f t="shared" si="46"/>
        <v>147</v>
      </c>
      <c r="B153">
        <f t="shared" si="47"/>
        <v>3.6750000000000026E-2</v>
      </c>
      <c r="C153">
        <f t="shared" si="32"/>
        <v>-0.85264016435408807</v>
      </c>
      <c r="D153">
        <f t="shared" si="33"/>
        <v>-0.47715876025960191</v>
      </c>
      <c r="E153">
        <f t="shared" si="34"/>
        <v>-0.85264016435408807</v>
      </c>
      <c r="F153">
        <f t="shared" si="35"/>
        <v>-0.47715876025960191</v>
      </c>
      <c r="G153">
        <f t="shared" si="36"/>
        <v>0.40684472377073988</v>
      </c>
      <c r="H153">
        <f t="shared" si="37"/>
        <v>-27939</v>
      </c>
      <c r="I153">
        <f t="shared" si="38"/>
        <v>-27940</v>
      </c>
      <c r="J153">
        <f t="shared" si="39"/>
        <v>-15636</v>
      </c>
      <c r="K153">
        <f t="shared" si="40"/>
        <v>780643600</v>
      </c>
      <c r="L153">
        <f t="shared" si="41"/>
        <v>244484496</v>
      </c>
      <c r="M153">
        <f t="shared" si="42"/>
        <v>13332</v>
      </c>
      <c r="N153">
        <f t="shared" si="43"/>
        <v>23170</v>
      </c>
      <c r="O153">
        <f t="shared" si="44"/>
        <v>23170</v>
      </c>
      <c r="P153">
        <f t="shared" si="45"/>
        <v>14188</v>
      </c>
    </row>
    <row r="154" spans="1:16" x14ac:dyDescent="0.25">
      <c r="A154">
        <f t="shared" si="46"/>
        <v>148</v>
      </c>
      <c r="B154">
        <f t="shared" si="47"/>
        <v>3.7000000000000026E-2</v>
      </c>
      <c r="C154">
        <f t="shared" si="32"/>
        <v>-0.80901699437494246</v>
      </c>
      <c r="D154">
        <f t="shared" si="33"/>
        <v>-0.40673664307579305</v>
      </c>
      <c r="E154">
        <f t="shared" si="34"/>
        <v>-0.80901699437494246</v>
      </c>
      <c r="F154">
        <f t="shared" si="35"/>
        <v>-0.40673664307579305</v>
      </c>
      <c r="G154">
        <f t="shared" si="36"/>
        <v>0.32905685648333183</v>
      </c>
      <c r="H154">
        <f t="shared" si="37"/>
        <v>-26510</v>
      </c>
      <c r="I154">
        <f t="shared" si="38"/>
        <v>-26510</v>
      </c>
      <c r="J154">
        <f t="shared" si="39"/>
        <v>-13328</v>
      </c>
      <c r="K154">
        <f t="shared" si="40"/>
        <v>702780100</v>
      </c>
      <c r="L154">
        <f t="shared" si="41"/>
        <v>177635584</v>
      </c>
      <c r="M154">
        <f t="shared" si="42"/>
        <v>10782</v>
      </c>
      <c r="N154">
        <f t="shared" si="43"/>
        <v>23170</v>
      </c>
      <c r="O154">
        <f t="shared" si="44"/>
        <v>23170</v>
      </c>
      <c r="P154">
        <f t="shared" si="45"/>
        <v>14188</v>
      </c>
    </row>
    <row r="155" spans="1:16" x14ac:dyDescent="0.25">
      <c r="A155">
        <f t="shared" si="46"/>
        <v>149</v>
      </c>
      <c r="B155">
        <f t="shared" si="47"/>
        <v>3.7250000000000026E-2</v>
      </c>
      <c r="C155">
        <f t="shared" si="32"/>
        <v>-0.76040596560002516</v>
      </c>
      <c r="D155">
        <f t="shared" si="33"/>
        <v>-0.33380685923376313</v>
      </c>
      <c r="E155">
        <f t="shared" si="34"/>
        <v>-0.76040596560002516</v>
      </c>
      <c r="F155">
        <f t="shared" si="35"/>
        <v>-0.33380685923376313</v>
      </c>
      <c r="G155">
        <f t="shared" si="36"/>
        <v>0.25382872711956134</v>
      </c>
      <c r="H155">
        <f t="shared" si="37"/>
        <v>-24917</v>
      </c>
      <c r="I155">
        <f t="shared" si="38"/>
        <v>-24917</v>
      </c>
      <c r="J155">
        <f t="shared" si="39"/>
        <v>-10939</v>
      </c>
      <c r="K155">
        <f t="shared" si="40"/>
        <v>620856889</v>
      </c>
      <c r="L155">
        <f t="shared" si="41"/>
        <v>119661721</v>
      </c>
      <c r="M155">
        <f t="shared" si="42"/>
        <v>8318</v>
      </c>
      <c r="N155">
        <f t="shared" si="43"/>
        <v>23170</v>
      </c>
      <c r="O155">
        <f t="shared" si="44"/>
        <v>23170</v>
      </c>
      <c r="P155">
        <f t="shared" si="45"/>
        <v>14188</v>
      </c>
    </row>
    <row r="156" spans="1:16" x14ac:dyDescent="0.25">
      <c r="A156">
        <f t="shared" si="46"/>
        <v>150</v>
      </c>
      <c r="B156">
        <f t="shared" si="47"/>
        <v>3.7500000000000026E-2</v>
      </c>
      <c r="C156">
        <f t="shared" si="32"/>
        <v>-0.70710678118654224</v>
      </c>
      <c r="D156">
        <f t="shared" si="33"/>
        <v>-0.25881904510251408</v>
      </c>
      <c r="E156">
        <f t="shared" si="34"/>
        <v>-0.70710678118654224</v>
      </c>
      <c r="F156">
        <f t="shared" si="35"/>
        <v>-0.25881904510251408</v>
      </c>
      <c r="G156">
        <f t="shared" si="36"/>
        <v>0.18301270189221322</v>
      </c>
      <c r="H156">
        <f t="shared" si="37"/>
        <v>-23170</v>
      </c>
      <c r="I156">
        <f t="shared" si="38"/>
        <v>-23171</v>
      </c>
      <c r="J156">
        <f t="shared" si="39"/>
        <v>-8481</v>
      </c>
      <c r="K156">
        <f t="shared" si="40"/>
        <v>536895241</v>
      </c>
      <c r="L156">
        <f t="shared" si="41"/>
        <v>71927361</v>
      </c>
      <c r="M156">
        <f t="shared" si="42"/>
        <v>5997</v>
      </c>
      <c r="N156">
        <f t="shared" si="43"/>
        <v>23170</v>
      </c>
      <c r="O156">
        <f t="shared" si="44"/>
        <v>23170</v>
      </c>
      <c r="P156">
        <f t="shared" si="45"/>
        <v>14188</v>
      </c>
    </row>
    <row r="157" spans="1:16" x14ac:dyDescent="0.25">
      <c r="A157">
        <f t="shared" si="46"/>
        <v>151</v>
      </c>
      <c r="B157">
        <f t="shared" si="47"/>
        <v>3.7750000000000027E-2</v>
      </c>
      <c r="C157">
        <f t="shared" si="32"/>
        <v>-0.64944804833017755</v>
      </c>
      <c r="D157">
        <f t="shared" si="33"/>
        <v>-0.18223552549214023</v>
      </c>
      <c r="E157">
        <f t="shared" si="34"/>
        <v>-0.64944804833017755</v>
      </c>
      <c r="F157">
        <f t="shared" si="35"/>
        <v>-0.18223552549214023</v>
      </c>
      <c r="G157">
        <f t="shared" si="36"/>
        <v>0.11835250636729479</v>
      </c>
      <c r="H157">
        <f t="shared" si="37"/>
        <v>-21281</v>
      </c>
      <c r="I157">
        <f t="shared" si="38"/>
        <v>-21282</v>
      </c>
      <c r="J157">
        <f t="shared" si="39"/>
        <v>-5972</v>
      </c>
      <c r="K157">
        <f t="shared" si="40"/>
        <v>452923524</v>
      </c>
      <c r="L157">
        <f t="shared" si="41"/>
        <v>35664784</v>
      </c>
      <c r="M157">
        <f t="shared" si="42"/>
        <v>3878</v>
      </c>
      <c r="N157">
        <f t="shared" si="43"/>
        <v>23170</v>
      </c>
      <c r="O157">
        <f t="shared" si="44"/>
        <v>23170</v>
      </c>
      <c r="P157">
        <f t="shared" si="45"/>
        <v>14188</v>
      </c>
    </row>
    <row r="158" spans="1:16" x14ac:dyDescent="0.25">
      <c r="A158">
        <f t="shared" si="46"/>
        <v>152</v>
      </c>
      <c r="B158">
        <f t="shared" si="47"/>
        <v>3.8000000000000027E-2</v>
      </c>
      <c r="C158">
        <f t="shared" si="32"/>
        <v>-0.58778525229246636</v>
      </c>
      <c r="D158">
        <f t="shared" si="33"/>
        <v>-0.10452846326764571</v>
      </c>
      <c r="E158">
        <f t="shared" si="34"/>
        <v>-0.58778525229246636</v>
      </c>
      <c r="F158">
        <f t="shared" si="35"/>
        <v>-0.10452846326764571</v>
      </c>
      <c r="G158">
        <f t="shared" si="36"/>
        <v>6.1440289153516937E-2</v>
      </c>
      <c r="H158">
        <f t="shared" si="37"/>
        <v>-19261</v>
      </c>
      <c r="I158">
        <f t="shared" si="38"/>
        <v>-19261</v>
      </c>
      <c r="J158">
        <f t="shared" si="39"/>
        <v>-3426</v>
      </c>
      <c r="K158">
        <f t="shared" si="40"/>
        <v>370986121</v>
      </c>
      <c r="L158">
        <f t="shared" si="41"/>
        <v>11737476</v>
      </c>
      <c r="M158">
        <f t="shared" si="42"/>
        <v>2013</v>
      </c>
      <c r="N158">
        <f t="shared" si="43"/>
        <v>23170</v>
      </c>
      <c r="O158">
        <f t="shared" si="44"/>
        <v>23170</v>
      </c>
      <c r="P158">
        <f t="shared" si="45"/>
        <v>14188</v>
      </c>
    </row>
    <row r="159" spans="1:16" x14ac:dyDescent="0.25">
      <c r="A159">
        <f t="shared" si="46"/>
        <v>153</v>
      </c>
      <c r="B159">
        <f t="shared" si="47"/>
        <v>3.8250000000000027E-2</v>
      </c>
      <c r="C159">
        <f t="shared" si="32"/>
        <v>-0.52249856471594136</v>
      </c>
      <c r="D159">
        <f t="shared" si="33"/>
        <v>-2.6176948307864909E-2</v>
      </c>
      <c r="E159">
        <f t="shared" si="34"/>
        <v>-0.52249856471594136</v>
      </c>
      <c r="F159">
        <f t="shared" si="35"/>
        <v>-2.6176948307864909E-2</v>
      </c>
      <c r="G159">
        <f t="shared" si="36"/>
        <v>1.3677417919502804E-2</v>
      </c>
      <c r="H159">
        <f t="shared" si="37"/>
        <v>-17121</v>
      </c>
      <c r="I159">
        <f t="shared" si="38"/>
        <v>-17122</v>
      </c>
      <c r="J159">
        <f t="shared" si="39"/>
        <v>-858</v>
      </c>
      <c r="K159">
        <f t="shared" si="40"/>
        <v>293162884</v>
      </c>
      <c r="L159">
        <f t="shared" si="41"/>
        <v>736164</v>
      </c>
      <c r="M159">
        <f t="shared" si="42"/>
        <v>448</v>
      </c>
      <c r="N159">
        <f t="shared" si="43"/>
        <v>23170</v>
      </c>
      <c r="O159">
        <f t="shared" si="44"/>
        <v>23170</v>
      </c>
      <c r="P159">
        <f t="shared" si="45"/>
        <v>14188</v>
      </c>
    </row>
    <row r="160" spans="1:16" x14ac:dyDescent="0.25">
      <c r="A160">
        <f t="shared" si="46"/>
        <v>154</v>
      </c>
      <c r="B160">
        <f t="shared" si="47"/>
        <v>3.8500000000000027E-2</v>
      </c>
      <c r="C160">
        <f t="shared" si="32"/>
        <v>-0.45399049973953853</v>
      </c>
      <c r="D160">
        <f t="shared" si="33"/>
        <v>5.2335956242952508E-2</v>
      </c>
      <c r="E160">
        <f t="shared" si="34"/>
        <v>-0.45399049973953853</v>
      </c>
      <c r="F160">
        <f t="shared" si="35"/>
        <v>5.2335956242952508E-2</v>
      </c>
      <c r="G160">
        <f t="shared" si="36"/>
        <v>-2.3760026929084632E-2</v>
      </c>
      <c r="H160">
        <f t="shared" si="37"/>
        <v>-14876</v>
      </c>
      <c r="I160">
        <f t="shared" si="38"/>
        <v>-14877</v>
      </c>
      <c r="J160">
        <f t="shared" si="39"/>
        <v>1714</v>
      </c>
      <c r="K160">
        <f t="shared" si="40"/>
        <v>221325129</v>
      </c>
      <c r="L160">
        <f t="shared" si="41"/>
        <v>2937796</v>
      </c>
      <c r="M160">
        <f t="shared" si="42"/>
        <v>-779</v>
      </c>
      <c r="N160">
        <f t="shared" si="43"/>
        <v>23170</v>
      </c>
      <c r="O160">
        <f t="shared" si="44"/>
        <v>23170</v>
      </c>
      <c r="P160">
        <f t="shared" si="45"/>
        <v>14188</v>
      </c>
    </row>
    <row r="161" spans="1:16" x14ac:dyDescent="0.25">
      <c r="A161">
        <f t="shared" si="46"/>
        <v>155</v>
      </c>
      <c r="B161">
        <f t="shared" si="47"/>
        <v>3.8750000000000027E-2</v>
      </c>
      <c r="C161">
        <f t="shared" si="32"/>
        <v>-0.3826834323650824</v>
      </c>
      <c r="D161">
        <f t="shared" si="33"/>
        <v>0.13052619222005887</v>
      </c>
      <c r="E161">
        <f t="shared" si="34"/>
        <v>-0.3826834323650824</v>
      </c>
      <c r="F161">
        <f t="shared" si="35"/>
        <v>0.13052619222005887</v>
      </c>
      <c r="G161">
        <f t="shared" si="36"/>
        <v>-4.9950211252316641E-2</v>
      </c>
      <c r="H161">
        <f t="shared" si="37"/>
        <v>-12540</v>
      </c>
      <c r="I161">
        <f t="shared" si="38"/>
        <v>-12540</v>
      </c>
      <c r="J161">
        <f t="shared" si="39"/>
        <v>4276</v>
      </c>
      <c r="K161">
        <f t="shared" si="40"/>
        <v>157251600</v>
      </c>
      <c r="L161">
        <f t="shared" si="41"/>
        <v>18284176</v>
      </c>
      <c r="M161">
        <f t="shared" si="42"/>
        <v>-1637</v>
      </c>
      <c r="N161">
        <f t="shared" si="43"/>
        <v>23170</v>
      </c>
      <c r="O161">
        <f t="shared" si="44"/>
        <v>23170</v>
      </c>
      <c r="P161">
        <f t="shared" si="45"/>
        <v>14188</v>
      </c>
    </row>
    <row r="162" spans="1:16" x14ac:dyDescent="0.25">
      <c r="A162">
        <f t="shared" si="46"/>
        <v>156</v>
      </c>
      <c r="B162">
        <f t="shared" si="47"/>
        <v>3.9000000000000028E-2</v>
      </c>
      <c r="C162">
        <f t="shared" si="32"/>
        <v>-0.30901699437493946</v>
      </c>
      <c r="D162">
        <f t="shared" si="33"/>
        <v>0.20791169081776695</v>
      </c>
      <c r="E162">
        <f t="shared" si="34"/>
        <v>-0.30901699437493946</v>
      </c>
      <c r="F162">
        <f t="shared" si="35"/>
        <v>0.20791169081776695</v>
      </c>
      <c r="G162">
        <f t="shared" si="36"/>
        <v>-6.4248245791918041E-2</v>
      </c>
      <c r="H162">
        <f t="shared" si="37"/>
        <v>-10126</v>
      </c>
      <c r="I162">
        <f t="shared" si="38"/>
        <v>-10126</v>
      </c>
      <c r="J162">
        <f t="shared" si="39"/>
        <v>6812</v>
      </c>
      <c r="K162">
        <f t="shared" si="40"/>
        <v>102535876</v>
      </c>
      <c r="L162">
        <f t="shared" si="41"/>
        <v>46403344</v>
      </c>
      <c r="M162">
        <f t="shared" si="42"/>
        <v>-2106</v>
      </c>
      <c r="N162">
        <f t="shared" si="43"/>
        <v>23170</v>
      </c>
      <c r="O162">
        <f t="shared" si="44"/>
        <v>23170</v>
      </c>
      <c r="P162">
        <f t="shared" si="45"/>
        <v>14188</v>
      </c>
    </row>
    <row r="163" spans="1:16" x14ac:dyDescent="0.25">
      <c r="A163">
        <f t="shared" si="46"/>
        <v>157</v>
      </c>
      <c r="B163">
        <f t="shared" si="47"/>
        <v>3.9250000000000028E-2</v>
      </c>
      <c r="C163">
        <f t="shared" si="32"/>
        <v>-0.23344536385589681</v>
      </c>
      <c r="D163">
        <f t="shared" si="33"/>
        <v>0.28401534470393053</v>
      </c>
      <c r="E163">
        <f t="shared" si="34"/>
        <v>-0.23344536385589681</v>
      </c>
      <c r="F163">
        <f t="shared" si="35"/>
        <v>0.28401534470393053</v>
      </c>
      <c r="G163">
        <f t="shared" si="36"/>
        <v>-6.6302065485067022E-2</v>
      </c>
      <c r="H163">
        <f t="shared" si="37"/>
        <v>-7650</v>
      </c>
      <c r="I163">
        <f t="shared" si="38"/>
        <v>-7650</v>
      </c>
      <c r="J163">
        <f t="shared" si="39"/>
        <v>9306</v>
      </c>
      <c r="K163">
        <f t="shared" si="40"/>
        <v>58522500</v>
      </c>
      <c r="L163">
        <f t="shared" si="41"/>
        <v>86601636</v>
      </c>
      <c r="M163">
        <f t="shared" si="42"/>
        <v>-2173</v>
      </c>
      <c r="N163">
        <f t="shared" si="43"/>
        <v>23170</v>
      </c>
      <c r="O163">
        <f t="shared" si="44"/>
        <v>23170</v>
      </c>
      <c r="P163">
        <f t="shared" si="45"/>
        <v>14188</v>
      </c>
    </row>
    <row r="164" spans="1:16" x14ac:dyDescent="0.25">
      <c r="A164">
        <f t="shared" si="46"/>
        <v>158</v>
      </c>
      <c r="B164">
        <f t="shared" si="47"/>
        <v>3.9500000000000028E-2</v>
      </c>
      <c r="C164">
        <f t="shared" si="32"/>
        <v>-0.15643446504022171</v>
      </c>
      <c r="D164">
        <f t="shared" si="33"/>
        <v>0.35836794954530837</v>
      </c>
      <c r="E164">
        <f t="shared" si="34"/>
        <v>-0.15643446504022171</v>
      </c>
      <c r="F164">
        <f t="shared" si="35"/>
        <v>0.35836794954530837</v>
      </c>
      <c r="G164">
        <f t="shared" si="36"/>
        <v>-5.6061098474681478E-2</v>
      </c>
      <c r="H164">
        <f t="shared" si="37"/>
        <v>-5126</v>
      </c>
      <c r="I164">
        <f t="shared" si="38"/>
        <v>-5127</v>
      </c>
      <c r="J164">
        <f t="shared" si="39"/>
        <v>11742</v>
      </c>
      <c r="K164">
        <f t="shared" si="40"/>
        <v>26286129</v>
      </c>
      <c r="L164">
        <f t="shared" si="41"/>
        <v>137874564</v>
      </c>
      <c r="M164">
        <f t="shared" si="42"/>
        <v>-1838</v>
      </c>
      <c r="N164">
        <f t="shared" si="43"/>
        <v>23170</v>
      </c>
      <c r="O164">
        <f t="shared" si="44"/>
        <v>23170</v>
      </c>
      <c r="P164">
        <f t="shared" si="45"/>
        <v>14188</v>
      </c>
    </row>
    <row r="165" spans="1:16" x14ac:dyDescent="0.25">
      <c r="A165">
        <f t="shared" si="46"/>
        <v>159</v>
      </c>
      <c r="B165">
        <f t="shared" si="47"/>
        <v>3.9750000000000028E-2</v>
      </c>
      <c r="C165">
        <f t="shared" si="32"/>
        <v>-7.8459095727835243E-2</v>
      </c>
      <c r="D165">
        <f t="shared" si="33"/>
        <v>0.43051109680830335</v>
      </c>
      <c r="E165">
        <f t="shared" si="34"/>
        <v>-7.8459095727835243E-2</v>
      </c>
      <c r="F165">
        <f t="shared" si="35"/>
        <v>0.43051109680830335</v>
      </c>
      <c r="G165">
        <f t="shared" si="36"/>
        <v>-3.377751135637802E-2</v>
      </c>
      <c r="H165">
        <f t="shared" si="37"/>
        <v>-2571</v>
      </c>
      <c r="I165">
        <f t="shared" si="38"/>
        <v>-2571</v>
      </c>
      <c r="J165">
        <f t="shared" si="39"/>
        <v>14106</v>
      </c>
      <c r="K165">
        <f t="shared" si="40"/>
        <v>6610041</v>
      </c>
      <c r="L165">
        <f t="shared" si="41"/>
        <v>198979236</v>
      </c>
      <c r="M165">
        <f t="shared" si="42"/>
        <v>-1107</v>
      </c>
      <c r="N165">
        <f t="shared" si="43"/>
        <v>23170</v>
      </c>
      <c r="O165">
        <f t="shared" si="44"/>
        <v>23170</v>
      </c>
      <c r="P165">
        <f t="shared" si="45"/>
        <v>14188</v>
      </c>
    </row>
    <row r="166" spans="1:16" x14ac:dyDescent="0.25">
      <c r="A166">
        <f t="shared" si="46"/>
        <v>160</v>
      </c>
      <c r="B166">
        <f t="shared" si="47"/>
        <v>4.0000000000000029E-2</v>
      </c>
      <c r="C166">
        <f t="shared" si="32"/>
        <v>8.3917248150378043E-15</v>
      </c>
      <c r="D166">
        <f t="shared" si="33"/>
        <v>0.50000000000000677</v>
      </c>
      <c r="E166">
        <f t="shared" si="34"/>
        <v>8.3917248150378043E-15</v>
      </c>
      <c r="F166">
        <f t="shared" si="35"/>
        <v>0.50000000000000677</v>
      </c>
      <c r="G166">
        <f t="shared" si="36"/>
        <v>4.195862407518959E-15</v>
      </c>
      <c r="H166">
        <f t="shared" si="37"/>
        <v>0</v>
      </c>
      <c r="I166">
        <f t="shared" si="38"/>
        <v>0</v>
      </c>
      <c r="J166">
        <f t="shared" si="39"/>
        <v>16383</v>
      </c>
      <c r="K166">
        <f t="shared" si="40"/>
        <v>0</v>
      </c>
      <c r="L166">
        <f t="shared" si="41"/>
        <v>268402689</v>
      </c>
      <c r="M166">
        <f t="shared" si="42"/>
        <v>0</v>
      </c>
      <c r="N166">
        <f t="shared" si="43"/>
        <v>23170</v>
      </c>
      <c r="O166">
        <f t="shared" si="44"/>
        <v>23170</v>
      </c>
      <c r="P166">
        <f t="shared" si="45"/>
        <v>14188</v>
      </c>
    </row>
    <row r="167" spans="1:16" x14ac:dyDescent="0.25">
      <c r="A167">
        <f t="shared" si="46"/>
        <v>161</v>
      </c>
      <c r="B167">
        <f t="shared" si="47"/>
        <v>4.0250000000000029E-2</v>
      </c>
      <c r="C167">
        <f t="shared" si="32"/>
        <v>7.8459095727853756E-2</v>
      </c>
      <c r="D167">
        <f t="shared" si="33"/>
        <v>0.5664062369248396</v>
      </c>
      <c r="E167">
        <f t="shared" si="34"/>
        <v>7.8459095727853756E-2</v>
      </c>
      <c r="F167">
        <f t="shared" si="35"/>
        <v>0.5664062369248396</v>
      </c>
      <c r="G167">
        <f t="shared" si="36"/>
        <v>4.4439721163739405E-2</v>
      </c>
      <c r="H167">
        <f t="shared" si="37"/>
        <v>2571</v>
      </c>
      <c r="I167">
        <f t="shared" si="38"/>
        <v>2570</v>
      </c>
      <c r="J167">
        <f t="shared" si="39"/>
        <v>18559</v>
      </c>
      <c r="K167">
        <f t="shared" si="40"/>
        <v>6604900</v>
      </c>
      <c r="L167">
        <f t="shared" si="41"/>
        <v>344436481</v>
      </c>
      <c r="M167">
        <f t="shared" si="42"/>
        <v>1455</v>
      </c>
      <c r="N167">
        <f t="shared" si="43"/>
        <v>23170</v>
      </c>
      <c r="O167">
        <f t="shared" si="44"/>
        <v>23170</v>
      </c>
      <c r="P167">
        <f t="shared" si="45"/>
        <v>14188</v>
      </c>
    </row>
    <row r="168" spans="1:16" x14ac:dyDescent="0.25">
      <c r="A168">
        <f t="shared" si="46"/>
        <v>162</v>
      </c>
      <c r="B168">
        <f t="shared" si="47"/>
        <v>4.0500000000000029E-2</v>
      </c>
      <c r="C168">
        <f t="shared" si="32"/>
        <v>0.15643446504024003</v>
      </c>
      <c r="D168">
        <f t="shared" si="33"/>
        <v>0.62932039104984416</v>
      </c>
      <c r="E168">
        <f t="shared" si="34"/>
        <v>0.15643446504024003</v>
      </c>
      <c r="F168">
        <f t="shared" si="35"/>
        <v>0.62932039104984416</v>
      </c>
      <c r="G168">
        <f t="shared" si="36"/>
        <v>9.8447398712797035E-2</v>
      </c>
      <c r="H168">
        <f t="shared" si="37"/>
        <v>5126</v>
      </c>
      <c r="I168">
        <f t="shared" si="38"/>
        <v>5125</v>
      </c>
      <c r="J168">
        <f t="shared" si="39"/>
        <v>20620</v>
      </c>
      <c r="K168">
        <f t="shared" si="40"/>
        <v>26265625</v>
      </c>
      <c r="L168">
        <f t="shared" si="41"/>
        <v>425184400</v>
      </c>
      <c r="M168">
        <f t="shared" si="42"/>
        <v>3225</v>
      </c>
      <c r="N168">
        <f t="shared" si="43"/>
        <v>23170</v>
      </c>
      <c r="O168">
        <f t="shared" si="44"/>
        <v>23170</v>
      </c>
      <c r="P168">
        <f t="shared" si="45"/>
        <v>14188</v>
      </c>
    </row>
    <row r="169" spans="1:16" x14ac:dyDescent="0.25">
      <c r="A169">
        <f t="shared" si="46"/>
        <v>163</v>
      </c>
      <c r="B169">
        <f t="shared" si="47"/>
        <v>4.0750000000000029E-2</v>
      </c>
      <c r="C169">
        <f t="shared" si="32"/>
        <v>0.23344536385591486</v>
      </c>
      <c r="D169">
        <f t="shared" si="33"/>
        <v>0.68835457569376057</v>
      </c>
      <c r="E169">
        <f t="shared" si="34"/>
        <v>0.23344536385591486</v>
      </c>
      <c r="F169">
        <f t="shared" si="35"/>
        <v>0.68835457569376057</v>
      </c>
      <c r="G169">
        <f t="shared" si="36"/>
        <v>0.16069318438471383</v>
      </c>
      <c r="H169">
        <f t="shared" si="37"/>
        <v>7649</v>
      </c>
      <c r="I169">
        <f t="shared" si="38"/>
        <v>7649</v>
      </c>
      <c r="J169">
        <f t="shared" si="39"/>
        <v>22555</v>
      </c>
      <c r="K169">
        <f t="shared" si="40"/>
        <v>58507201</v>
      </c>
      <c r="L169">
        <f t="shared" si="41"/>
        <v>508728025</v>
      </c>
      <c r="M169">
        <f t="shared" si="42"/>
        <v>5264</v>
      </c>
      <c r="N169">
        <f t="shared" si="43"/>
        <v>23170</v>
      </c>
      <c r="O169">
        <f t="shared" si="44"/>
        <v>23170</v>
      </c>
      <c r="P169">
        <f t="shared" si="45"/>
        <v>14188</v>
      </c>
    </row>
    <row r="170" spans="1:16" x14ac:dyDescent="0.25">
      <c r="A170">
        <f t="shared" si="46"/>
        <v>164</v>
      </c>
      <c r="B170">
        <f t="shared" si="47"/>
        <v>4.1000000000000029E-2</v>
      </c>
      <c r="C170">
        <f t="shared" si="32"/>
        <v>0.30901699437495711</v>
      </c>
      <c r="D170">
        <f t="shared" si="33"/>
        <v>0.74314482547740057</v>
      </c>
      <c r="E170">
        <f t="shared" si="34"/>
        <v>0.30901699437495711</v>
      </c>
      <c r="F170">
        <f t="shared" si="35"/>
        <v>0.74314482547740057</v>
      </c>
      <c r="G170">
        <f t="shared" si="36"/>
        <v>0.22964438035432838</v>
      </c>
      <c r="H170">
        <f t="shared" si="37"/>
        <v>10126</v>
      </c>
      <c r="I170">
        <f t="shared" si="38"/>
        <v>10125</v>
      </c>
      <c r="J170">
        <f t="shared" si="39"/>
        <v>24350</v>
      </c>
      <c r="K170">
        <f t="shared" si="40"/>
        <v>102515625</v>
      </c>
      <c r="L170">
        <f t="shared" si="41"/>
        <v>592922500</v>
      </c>
      <c r="M170">
        <f t="shared" si="42"/>
        <v>7523</v>
      </c>
      <c r="N170">
        <f t="shared" si="43"/>
        <v>23170</v>
      </c>
      <c r="O170">
        <f t="shared" si="44"/>
        <v>23170</v>
      </c>
      <c r="P170">
        <f t="shared" si="45"/>
        <v>14188</v>
      </c>
    </row>
    <row r="171" spans="1:16" x14ac:dyDescent="0.25">
      <c r="A171">
        <f t="shared" si="46"/>
        <v>165</v>
      </c>
      <c r="B171">
        <f t="shared" si="47"/>
        <v>4.125000000000003E-2</v>
      </c>
      <c r="C171">
        <f t="shared" si="32"/>
        <v>0.38268343236509794</v>
      </c>
      <c r="D171">
        <f t="shared" si="33"/>
        <v>0.79335334029124016</v>
      </c>
      <c r="E171">
        <f t="shared" si="34"/>
        <v>0.38268343236509794</v>
      </c>
      <c r="F171">
        <f t="shared" si="35"/>
        <v>0.79335334029124016</v>
      </c>
      <c r="G171">
        <f t="shared" si="36"/>
        <v>0.30360317934096731</v>
      </c>
      <c r="H171">
        <f t="shared" si="37"/>
        <v>12539</v>
      </c>
      <c r="I171">
        <f t="shared" si="38"/>
        <v>12539</v>
      </c>
      <c r="J171">
        <f t="shared" si="39"/>
        <v>25995</v>
      </c>
      <c r="K171">
        <f t="shared" si="40"/>
        <v>157226521</v>
      </c>
      <c r="L171">
        <f t="shared" si="41"/>
        <v>675740025</v>
      </c>
      <c r="M171">
        <f t="shared" si="42"/>
        <v>9947</v>
      </c>
      <c r="N171">
        <f t="shared" si="43"/>
        <v>23170</v>
      </c>
      <c r="O171">
        <f t="shared" si="44"/>
        <v>23170</v>
      </c>
      <c r="P171">
        <f t="shared" si="45"/>
        <v>14188</v>
      </c>
    </row>
    <row r="172" spans="1:16" x14ac:dyDescent="0.25">
      <c r="A172">
        <f t="shared" si="46"/>
        <v>166</v>
      </c>
      <c r="B172">
        <f t="shared" si="47"/>
        <v>4.150000000000003E-2</v>
      </c>
      <c r="C172">
        <f t="shared" si="32"/>
        <v>0.45399049973955502</v>
      </c>
      <c r="D172">
        <f t="shared" si="33"/>
        <v>0.83867056794542871</v>
      </c>
      <c r="E172">
        <f t="shared" si="34"/>
        <v>0.45399049973955502</v>
      </c>
      <c r="F172">
        <f t="shared" si="35"/>
        <v>0.83867056794542871</v>
      </c>
      <c r="G172">
        <f t="shared" si="36"/>
        <v>0.38074847025840164</v>
      </c>
      <c r="H172">
        <f t="shared" si="37"/>
        <v>14876</v>
      </c>
      <c r="I172">
        <f t="shared" si="38"/>
        <v>14875</v>
      </c>
      <c r="J172">
        <f t="shared" si="39"/>
        <v>27480</v>
      </c>
      <c r="K172">
        <f t="shared" si="40"/>
        <v>221265625</v>
      </c>
      <c r="L172">
        <f t="shared" si="41"/>
        <v>755150400</v>
      </c>
      <c r="M172">
        <f t="shared" si="42"/>
        <v>12474</v>
      </c>
      <c r="N172">
        <f t="shared" si="43"/>
        <v>23170</v>
      </c>
      <c r="O172">
        <f t="shared" si="44"/>
        <v>23170</v>
      </c>
      <c r="P172">
        <f t="shared" si="45"/>
        <v>14188</v>
      </c>
    </row>
    <row r="173" spans="1:16" x14ac:dyDescent="0.25">
      <c r="A173">
        <f t="shared" si="46"/>
        <v>167</v>
      </c>
      <c r="B173">
        <f t="shared" si="47"/>
        <v>4.175000000000003E-2</v>
      </c>
      <c r="C173">
        <f t="shared" si="32"/>
        <v>0.52249856471595713</v>
      </c>
      <c r="D173">
        <f t="shared" si="33"/>
        <v>0.87881711266196971</v>
      </c>
      <c r="E173">
        <f t="shared" si="34"/>
        <v>0.52249856471595713</v>
      </c>
      <c r="F173">
        <f t="shared" si="35"/>
        <v>0.87881711266196971</v>
      </c>
      <c r="G173">
        <f t="shared" si="36"/>
        <v>0.45918068001370077</v>
      </c>
      <c r="H173">
        <f t="shared" si="37"/>
        <v>17121</v>
      </c>
      <c r="I173">
        <f t="shared" si="38"/>
        <v>17120</v>
      </c>
      <c r="J173">
        <f t="shared" si="39"/>
        <v>28796</v>
      </c>
      <c r="K173">
        <f t="shared" si="40"/>
        <v>293094400</v>
      </c>
      <c r="L173">
        <f t="shared" si="41"/>
        <v>829209616</v>
      </c>
      <c r="M173">
        <f t="shared" si="42"/>
        <v>15044</v>
      </c>
      <c r="N173">
        <f t="shared" si="43"/>
        <v>23170</v>
      </c>
      <c r="O173">
        <f t="shared" si="44"/>
        <v>23170</v>
      </c>
      <c r="P173">
        <f t="shared" si="45"/>
        <v>14188</v>
      </c>
    </row>
    <row r="174" spans="1:16" x14ac:dyDescent="0.25">
      <c r="A174">
        <f t="shared" si="46"/>
        <v>168</v>
      </c>
      <c r="B174">
        <f t="shared" si="47"/>
        <v>4.200000000000003E-2</v>
      </c>
      <c r="C174">
        <f t="shared" si="32"/>
        <v>0.58778525229248135</v>
      </c>
      <c r="D174">
        <f t="shared" si="33"/>
        <v>0.91354545764260475</v>
      </c>
      <c r="E174">
        <f t="shared" si="34"/>
        <v>0.58778525229248135</v>
      </c>
      <c r="F174">
        <f t="shared" si="35"/>
        <v>0.91354545764260475</v>
      </c>
      <c r="G174">
        <f t="shared" si="36"/>
        <v>0.53696854730110877</v>
      </c>
      <c r="H174">
        <f t="shared" si="37"/>
        <v>19260</v>
      </c>
      <c r="I174">
        <f t="shared" si="38"/>
        <v>19259</v>
      </c>
      <c r="J174">
        <f t="shared" si="39"/>
        <v>29934</v>
      </c>
      <c r="K174">
        <f t="shared" si="40"/>
        <v>370909081</v>
      </c>
      <c r="L174">
        <f t="shared" si="41"/>
        <v>896044356</v>
      </c>
      <c r="M174">
        <f t="shared" si="42"/>
        <v>17593</v>
      </c>
      <c r="N174">
        <f t="shared" si="43"/>
        <v>23170</v>
      </c>
      <c r="O174">
        <f t="shared" si="44"/>
        <v>23170</v>
      </c>
      <c r="P174">
        <f t="shared" si="45"/>
        <v>14188</v>
      </c>
    </row>
    <row r="175" spans="1:16" x14ac:dyDescent="0.25">
      <c r="A175">
        <f t="shared" si="46"/>
        <v>169</v>
      </c>
      <c r="B175">
        <f t="shared" si="47"/>
        <v>4.2250000000000031E-2</v>
      </c>
      <c r="C175">
        <f t="shared" si="32"/>
        <v>0.64944804833019032</v>
      </c>
      <c r="D175">
        <f t="shared" si="33"/>
        <v>0.94264149109218109</v>
      </c>
      <c r="E175">
        <f t="shared" si="34"/>
        <v>0.64944804833019032</v>
      </c>
      <c r="F175">
        <f t="shared" si="35"/>
        <v>0.94264149109218109</v>
      </c>
      <c r="G175">
        <f t="shared" si="36"/>
        <v>0.61219667666487754</v>
      </c>
      <c r="H175">
        <f t="shared" si="37"/>
        <v>21280</v>
      </c>
      <c r="I175">
        <f t="shared" si="38"/>
        <v>21280</v>
      </c>
      <c r="J175">
        <f t="shared" si="39"/>
        <v>30887</v>
      </c>
      <c r="K175">
        <f t="shared" si="40"/>
        <v>452838400</v>
      </c>
      <c r="L175">
        <f t="shared" si="41"/>
        <v>954006769</v>
      </c>
      <c r="M175">
        <f t="shared" si="42"/>
        <v>20058</v>
      </c>
      <c r="N175">
        <f t="shared" si="43"/>
        <v>23170</v>
      </c>
      <c r="O175">
        <f t="shared" si="44"/>
        <v>23170</v>
      </c>
      <c r="P175">
        <f t="shared" si="45"/>
        <v>14188</v>
      </c>
    </row>
    <row r="176" spans="1:16" x14ac:dyDescent="0.25">
      <c r="A176">
        <f t="shared" si="46"/>
        <v>170</v>
      </c>
      <c r="B176">
        <f t="shared" si="47"/>
        <v>4.2500000000000031E-2</v>
      </c>
      <c r="C176">
        <f t="shared" si="32"/>
        <v>0.70710678118655401</v>
      </c>
      <c r="D176">
        <f t="shared" si="33"/>
        <v>0.96592582628907053</v>
      </c>
      <c r="E176">
        <f t="shared" si="34"/>
        <v>0.70710678118655401</v>
      </c>
      <c r="F176">
        <f t="shared" si="35"/>
        <v>0.96592582628907053</v>
      </c>
      <c r="G176">
        <f t="shared" si="36"/>
        <v>0.68301270189222718</v>
      </c>
      <c r="H176">
        <f t="shared" si="37"/>
        <v>23170</v>
      </c>
      <c r="I176">
        <f t="shared" si="38"/>
        <v>23169</v>
      </c>
      <c r="J176">
        <f t="shared" si="39"/>
        <v>31650</v>
      </c>
      <c r="K176">
        <f t="shared" si="40"/>
        <v>536802561</v>
      </c>
      <c r="L176">
        <f t="shared" si="41"/>
        <v>1001722500</v>
      </c>
      <c r="M176">
        <f t="shared" si="42"/>
        <v>22378</v>
      </c>
      <c r="N176">
        <f t="shared" si="43"/>
        <v>23170</v>
      </c>
      <c r="O176">
        <f t="shared" si="44"/>
        <v>23170</v>
      </c>
      <c r="P176">
        <f t="shared" si="45"/>
        <v>14188</v>
      </c>
    </row>
    <row r="177" spans="1:16" x14ac:dyDescent="0.25">
      <c r="A177">
        <f t="shared" si="46"/>
        <v>171</v>
      </c>
      <c r="B177">
        <f t="shared" si="47"/>
        <v>4.2750000000000031E-2</v>
      </c>
      <c r="C177">
        <f t="shared" si="32"/>
        <v>0.76040596560003726</v>
      </c>
      <c r="D177">
        <f t="shared" si="33"/>
        <v>0.98325490756395628</v>
      </c>
      <c r="E177">
        <f t="shared" si="34"/>
        <v>0.76040596560003726</v>
      </c>
      <c r="F177">
        <f t="shared" si="35"/>
        <v>0.98325490756395628</v>
      </c>
      <c r="G177">
        <f t="shared" si="36"/>
        <v>0.7476728974171456</v>
      </c>
      <c r="H177">
        <f t="shared" si="37"/>
        <v>24916</v>
      </c>
      <c r="I177">
        <f t="shared" si="38"/>
        <v>24916</v>
      </c>
      <c r="J177">
        <f t="shared" si="39"/>
        <v>32218</v>
      </c>
      <c r="K177">
        <f t="shared" si="40"/>
        <v>620807056</v>
      </c>
      <c r="L177">
        <f t="shared" si="41"/>
        <v>1037999524</v>
      </c>
      <c r="M177">
        <f t="shared" si="42"/>
        <v>24497</v>
      </c>
      <c r="N177">
        <f t="shared" si="43"/>
        <v>23170</v>
      </c>
      <c r="O177">
        <f t="shared" si="44"/>
        <v>23170</v>
      </c>
      <c r="P177">
        <f t="shared" si="45"/>
        <v>14188</v>
      </c>
    </row>
    <row r="178" spans="1:16" x14ac:dyDescent="0.25">
      <c r="A178">
        <f t="shared" si="46"/>
        <v>172</v>
      </c>
      <c r="B178">
        <f t="shared" si="47"/>
        <v>4.3000000000000031E-2</v>
      </c>
      <c r="C178">
        <f t="shared" si="32"/>
        <v>0.80901699437495334</v>
      </c>
      <c r="D178">
        <f t="shared" si="33"/>
        <v>0.99452189536827429</v>
      </c>
      <c r="E178">
        <f t="shared" si="34"/>
        <v>0.80901699437495334</v>
      </c>
      <c r="F178">
        <f t="shared" si="35"/>
        <v>0.99452189536827429</v>
      </c>
      <c r="G178">
        <f t="shared" si="36"/>
        <v>0.80458511463092308</v>
      </c>
      <c r="H178">
        <f t="shared" si="37"/>
        <v>26509</v>
      </c>
      <c r="I178">
        <f t="shared" si="38"/>
        <v>26509</v>
      </c>
      <c r="J178">
        <f t="shared" si="39"/>
        <v>32587</v>
      </c>
      <c r="K178">
        <f t="shared" si="40"/>
        <v>702727081</v>
      </c>
      <c r="L178">
        <f t="shared" si="41"/>
        <v>1061912569</v>
      </c>
      <c r="M178">
        <f t="shared" si="42"/>
        <v>26362</v>
      </c>
      <c r="N178">
        <f t="shared" si="43"/>
        <v>23170</v>
      </c>
      <c r="O178">
        <f t="shared" si="44"/>
        <v>23170</v>
      </c>
      <c r="P178">
        <f t="shared" si="45"/>
        <v>14188</v>
      </c>
    </row>
    <row r="179" spans="1:16" x14ac:dyDescent="0.25">
      <c r="A179">
        <f t="shared" si="46"/>
        <v>173</v>
      </c>
      <c r="B179">
        <f t="shared" si="47"/>
        <v>4.3250000000000031E-2</v>
      </c>
      <c r="C179">
        <f t="shared" si="32"/>
        <v>0.85264016435409773</v>
      </c>
      <c r="D179">
        <f t="shared" si="33"/>
        <v>0.99965732497555759</v>
      </c>
      <c r="E179">
        <f t="shared" si="34"/>
        <v>0.85264016435409773</v>
      </c>
      <c r="F179">
        <f t="shared" si="35"/>
        <v>0.99965732497555759</v>
      </c>
      <c r="G179">
        <f t="shared" si="36"/>
        <v>0.8523479858649371</v>
      </c>
      <c r="H179">
        <f t="shared" si="37"/>
        <v>27938</v>
      </c>
      <c r="I179">
        <f t="shared" si="38"/>
        <v>27938</v>
      </c>
      <c r="J179">
        <f t="shared" si="39"/>
        <v>32755</v>
      </c>
      <c r="K179">
        <f t="shared" si="40"/>
        <v>780531844</v>
      </c>
      <c r="L179">
        <f t="shared" si="41"/>
        <v>1072890025</v>
      </c>
      <c r="M179">
        <f t="shared" si="42"/>
        <v>27926</v>
      </c>
      <c r="N179">
        <f t="shared" si="43"/>
        <v>23170</v>
      </c>
      <c r="O179">
        <f t="shared" si="44"/>
        <v>23170</v>
      </c>
      <c r="P179">
        <f t="shared" si="45"/>
        <v>14188</v>
      </c>
    </row>
    <row r="180" spans="1:16" x14ac:dyDescent="0.25">
      <c r="A180">
        <f t="shared" si="46"/>
        <v>174</v>
      </c>
      <c r="B180">
        <f t="shared" si="47"/>
        <v>4.3500000000000032E-2</v>
      </c>
      <c r="C180">
        <f t="shared" si="32"/>
        <v>0.89100652418837201</v>
      </c>
      <c r="D180">
        <f t="shared" si="33"/>
        <v>0.99862953475457339</v>
      </c>
      <c r="E180">
        <f t="shared" si="34"/>
        <v>0.89100652418837201</v>
      </c>
      <c r="F180">
        <f t="shared" si="35"/>
        <v>0.99862953475457339</v>
      </c>
      <c r="G180">
        <f t="shared" si="36"/>
        <v>0.88978543071352345</v>
      </c>
      <c r="H180">
        <f t="shared" si="37"/>
        <v>29196</v>
      </c>
      <c r="I180">
        <f t="shared" si="38"/>
        <v>29195</v>
      </c>
      <c r="J180">
        <f t="shared" si="39"/>
        <v>32722</v>
      </c>
      <c r="K180">
        <f t="shared" si="40"/>
        <v>852348025</v>
      </c>
      <c r="L180">
        <f t="shared" si="41"/>
        <v>1070729284</v>
      </c>
      <c r="M180">
        <f t="shared" si="42"/>
        <v>29154</v>
      </c>
      <c r="N180">
        <f t="shared" si="43"/>
        <v>23170</v>
      </c>
      <c r="O180">
        <f t="shared" si="44"/>
        <v>23170</v>
      </c>
      <c r="P180">
        <f t="shared" si="45"/>
        <v>14188</v>
      </c>
    </row>
    <row r="181" spans="1:16" x14ac:dyDescent="0.25">
      <c r="A181">
        <f t="shared" si="46"/>
        <v>175</v>
      </c>
      <c r="B181">
        <f t="shared" si="47"/>
        <v>4.3750000000000032E-2</v>
      </c>
      <c r="C181">
        <f t="shared" si="32"/>
        <v>0.92387953251129051</v>
      </c>
      <c r="D181">
        <f t="shared" si="33"/>
        <v>0.99144486137380927</v>
      </c>
      <c r="E181">
        <f t="shared" si="34"/>
        <v>0.92387953251129051</v>
      </c>
      <c r="F181">
        <f t="shared" si="35"/>
        <v>0.99144486137380927</v>
      </c>
      <c r="G181">
        <f t="shared" si="36"/>
        <v>0.91597561503675617</v>
      </c>
      <c r="H181">
        <f t="shared" si="37"/>
        <v>30273</v>
      </c>
      <c r="I181">
        <f t="shared" si="38"/>
        <v>30272</v>
      </c>
      <c r="J181">
        <f t="shared" si="39"/>
        <v>32486</v>
      </c>
      <c r="K181">
        <f t="shared" si="40"/>
        <v>916393984</v>
      </c>
      <c r="L181">
        <f t="shared" si="41"/>
        <v>1055340196</v>
      </c>
      <c r="M181">
        <f t="shared" si="42"/>
        <v>30011</v>
      </c>
      <c r="N181">
        <f t="shared" si="43"/>
        <v>23170</v>
      </c>
      <c r="O181">
        <f t="shared" si="44"/>
        <v>23170</v>
      </c>
      <c r="P181">
        <f t="shared" si="45"/>
        <v>14188</v>
      </c>
    </row>
    <row r="182" spans="1:16" x14ac:dyDescent="0.25">
      <c r="A182">
        <f t="shared" si="46"/>
        <v>176</v>
      </c>
      <c r="B182">
        <f t="shared" si="47"/>
        <v>4.4000000000000032E-2</v>
      </c>
      <c r="C182">
        <f t="shared" si="32"/>
        <v>0.95105651629515675</v>
      </c>
      <c r="D182">
        <f t="shared" si="33"/>
        <v>0.97814760073380369</v>
      </c>
      <c r="E182">
        <f t="shared" si="34"/>
        <v>0.95105651629515675</v>
      </c>
      <c r="F182">
        <f t="shared" si="35"/>
        <v>0.97814760073380369</v>
      </c>
      <c r="G182">
        <f t="shared" si="36"/>
        <v>0.93027364957635728</v>
      </c>
      <c r="H182">
        <f t="shared" si="37"/>
        <v>31163</v>
      </c>
      <c r="I182">
        <f t="shared" si="38"/>
        <v>31163</v>
      </c>
      <c r="J182">
        <f t="shared" si="39"/>
        <v>32050</v>
      </c>
      <c r="K182">
        <f t="shared" si="40"/>
        <v>971132569</v>
      </c>
      <c r="L182">
        <f t="shared" si="41"/>
        <v>1027202500</v>
      </c>
      <c r="M182">
        <f t="shared" si="42"/>
        <v>30480</v>
      </c>
      <c r="N182">
        <f t="shared" si="43"/>
        <v>23170</v>
      </c>
      <c r="O182">
        <f t="shared" si="44"/>
        <v>23170</v>
      </c>
      <c r="P182">
        <f t="shared" si="45"/>
        <v>14188</v>
      </c>
    </row>
    <row r="183" spans="1:16" x14ac:dyDescent="0.25">
      <c r="A183">
        <f t="shared" si="46"/>
        <v>177</v>
      </c>
      <c r="B183">
        <f t="shared" si="47"/>
        <v>4.4250000000000032E-2</v>
      </c>
      <c r="C183">
        <f t="shared" si="32"/>
        <v>0.97236992039767911</v>
      </c>
      <c r="D183">
        <f t="shared" si="33"/>
        <v>0.95881973486819028</v>
      </c>
      <c r="E183">
        <f t="shared" si="34"/>
        <v>0.97236992039767911</v>
      </c>
      <c r="F183">
        <f t="shared" si="35"/>
        <v>0.95881973486819028</v>
      </c>
      <c r="G183">
        <f t="shared" si="36"/>
        <v>0.93232746926950594</v>
      </c>
      <c r="H183">
        <f t="shared" si="37"/>
        <v>31862</v>
      </c>
      <c r="I183">
        <f t="shared" si="38"/>
        <v>31861</v>
      </c>
      <c r="J183">
        <f t="shared" si="39"/>
        <v>31417</v>
      </c>
      <c r="K183">
        <f t="shared" si="40"/>
        <v>1015123321</v>
      </c>
      <c r="L183">
        <f t="shared" si="41"/>
        <v>987027889</v>
      </c>
      <c r="M183">
        <f t="shared" si="42"/>
        <v>30547</v>
      </c>
      <c r="N183">
        <f t="shared" si="43"/>
        <v>23170</v>
      </c>
      <c r="O183">
        <f t="shared" si="44"/>
        <v>23170</v>
      </c>
      <c r="P183">
        <f t="shared" si="45"/>
        <v>14188</v>
      </c>
    </row>
    <row r="184" spans="1:16" x14ac:dyDescent="0.25">
      <c r="A184">
        <f t="shared" si="46"/>
        <v>178</v>
      </c>
      <c r="B184">
        <f t="shared" si="47"/>
        <v>4.4500000000000033E-2</v>
      </c>
      <c r="C184">
        <f t="shared" si="32"/>
        <v>0.98768834059513944</v>
      </c>
      <c r="D184">
        <f t="shared" si="33"/>
        <v>0.93358042649719808</v>
      </c>
      <c r="E184">
        <f t="shared" si="34"/>
        <v>0.98768834059513944</v>
      </c>
      <c r="F184">
        <f t="shared" si="35"/>
        <v>0.93358042649719808</v>
      </c>
      <c r="G184">
        <f t="shared" si="36"/>
        <v>0.92208650225912014</v>
      </c>
      <c r="H184">
        <f t="shared" si="37"/>
        <v>32364</v>
      </c>
      <c r="I184">
        <f t="shared" si="38"/>
        <v>32363</v>
      </c>
      <c r="J184">
        <f t="shared" si="39"/>
        <v>30590</v>
      </c>
      <c r="K184">
        <f t="shared" si="40"/>
        <v>1047363769</v>
      </c>
      <c r="L184">
        <f t="shared" si="41"/>
        <v>935748100</v>
      </c>
      <c r="M184">
        <f t="shared" si="42"/>
        <v>30211</v>
      </c>
      <c r="N184">
        <f t="shared" si="43"/>
        <v>23170</v>
      </c>
      <c r="O184">
        <f t="shared" si="44"/>
        <v>23170</v>
      </c>
      <c r="P184">
        <f t="shared" si="45"/>
        <v>14188</v>
      </c>
    </row>
    <row r="185" spans="1:16" x14ac:dyDescent="0.25">
      <c r="A185">
        <f t="shared" si="46"/>
        <v>179</v>
      </c>
      <c r="B185">
        <f t="shared" si="47"/>
        <v>4.4750000000000033E-2</v>
      </c>
      <c r="C185">
        <f t="shared" si="32"/>
        <v>0.99691733373312874</v>
      </c>
      <c r="D185">
        <f t="shared" si="33"/>
        <v>0.90258528434985674</v>
      </c>
      <c r="E185">
        <f t="shared" si="34"/>
        <v>0.99691733373312874</v>
      </c>
      <c r="F185">
        <f t="shared" si="35"/>
        <v>0.90258528434985674</v>
      </c>
      <c r="G185">
        <f t="shared" si="36"/>
        <v>0.89980291514081701</v>
      </c>
      <c r="H185">
        <f t="shared" si="37"/>
        <v>32666</v>
      </c>
      <c r="I185">
        <f t="shared" si="38"/>
        <v>32665</v>
      </c>
      <c r="J185">
        <f t="shared" si="39"/>
        <v>29575</v>
      </c>
      <c r="K185">
        <f t="shared" si="40"/>
        <v>1067002225</v>
      </c>
      <c r="L185">
        <f t="shared" si="41"/>
        <v>874680625</v>
      </c>
      <c r="M185">
        <f t="shared" si="42"/>
        <v>29482</v>
      </c>
      <c r="N185">
        <f t="shared" si="43"/>
        <v>23170</v>
      </c>
      <c r="O185">
        <f t="shared" si="44"/>
        <v>23170</v>
      </c>
      <c r="P185">
        <f t="shared" si="45"/>
        <v>14188</v>
      </c>
    </row>
    <row r="186" spans="1:16" x14ac:dyDescent="0.25">
      <c r="A186">
        <f t="shared" si="46"/>
        <v>180</v>
      </c>
      <c r="B186">
        <f t="shared" si="47"/>
        <v>4.5000000000000033E-2</v>
      </c>
      <c r="C186">
        <f t="shared" si="32"/>
        <v>1</v>
      </c>
      <c r="D186">
        <f t="shared" si="33"/>
        <v>0.86602540378443393</v>
      </c>
      <c r="E186">
        <f t="shared" si="34"/>
        <v>1</v>
      </c>
      <c r="F186">
        <f t="shared" si="35"/>
        <v>0.86602540378443393</v>
      </c>
      <c r="G186">
        <f t="shared" si="36"/>
        <v>0.86602540378443393</v>
      </c>
      <c r="H186">
        <f t="shared" si="37"/>
        <v>32767</v>
      </c>
      <c r="I186">
        <f t="shared" si="38"/>
        <v>32767</v>
      </c>
      <c r="J186">
        <f t="shared" si="39"/>
        <v>28377</v>
      </c>
      <c r="K186">
        <f t="shared" si="40"/>
        <v>1073676289</v>
      </c>
      <c r="L186">
        <f t="shared" si="41"/>
        <v>805254129</v>
      </c>
      <c r="M186">
        <f t="shared" si="42"/>
        <v>28376</v>
      </c>
      <c r="N186">
        <f t="shared" si="43"/>
        <v>23170</v>
      </c>
      <c r="O186">
        <f t="shared" si="44"/>
        <v>23170</v>
      </c>
      <c r="P186">
        <f t="shared" si="45"/>
        <v>14188</v>
      </c>
    </row>
    <row r="187" spans="1:16" x14ac:dyDescent="0.25">
      <c r="A187">
        <f t="shared" si="46"/>
        <v>181</v>
      </c>
      <c r="B187">
        <f t="shared" si="47"/>
        <v>4.5250000000000033E-2</v>
      </c>
      <c r="C187">
        <f t="shared" si="32"/>
        <v>0.99691733373312719</v>
      </c>
      <c r="D187">
        <f t="shared" si="33"/>
        <v>0.82412618862201004</v>
      </c>
      <c r="E187">
        <f t="shared" si="34"/>
        <v>0.99691733373312719</v>
      </c>
      <c r="F187">
        <f t="shared" si="35"/>
        <v>0.82412618862201004</v>
      </c>
      <c r="G187">
        <f t="shared" si="36"/>
        <v>0.82158568262069853</v>
      </c>
      <c r="H187">
        <f t="shared" si="37"/>
        <v>32666</v>
      </c>
      <c r="I187">
        <f t="shared" si="38"/>
        <v>32665</v>
      </c>
      <c r="J187">
        <f t="shared" si="39"/>
        <v>27004</v>
      </c>
      <c r="K187">
        <f t="shared" si="40"/>
        <v>1067002225</v>
      </c>
      <c r="L187">
        <f t="shared" si="41"/>
        <v>729216016</v>
      </c>
      <c r="M187">
        <f t="shared" si="42"/>
        <v>26919</v>
      </c>
      <c r="N187">
        <f t="shared" si="43"/>
        <v>23170</v>
      </c>
      <c r="O187">
        <f t="shared" si="44"/>
        <v>23170</v>
      </c>
      <c r="P187">
        <f t="shared" si="45"/>
        <v>14188</v>
      </c>
    </row>
    <row r="188" spans="1:16" x14ac:dyDescent="0.25">
      <c r="A188">
        <f t="shared" si="46"/>
        <v>182</v>
      </c>
      <c r="B188">
        <f t="shared" si="47"/>
        <v>4.5500000000000033E-2</v>
      </c>
      <c r="C188">
        <f t="shared" si="32"/>
        <v>0.98768834059513599</v>
      </c>
      <c r="D188">
        <f t="shared" si="33"/>
        <v>0.77714596145696435</v>
      </c>
      <c r="E188">
        <f t="shared" si="34"/>
        <v>0.98768834059513599</v>
      </c>
      <c r="F188">
        <f t="shared" si="35"/>
        <v>0.77714596145696435</v>
      </c>
      <c r="G188">
        <f t="shared" si="36"/>
        <v>0.76757800507164065</v>
      </c>
      <c r="H188">
        <f t="shared" si="37"/>
        <v>32364</v>
      </c>
      <c r="I188">
        <f t="shared" si="38"/>
        <v>32363</v>
      </c>
      <c r="J188">
        <f t="shared" si="39"/>
        <v>25464</v>
      </c>
      <c r="K188">
        <f t="shared" si="40"/>
        <v>1047363769</v>
      </c>
      <c r="L188">
        <f t="shared" si="41"/>
        <v>648415296</v>
      </c>
      <c r="M188">
        <f t="shared" si="42"/>
        <v>25149</v>
      </c>
      <c r="N188">
        <f t="shared" si="43"/>
        <v>23170</v>
      </c>
      <c r="O188">
        <f t="shared" si="44"/>
        <v>23170</v>
      </c>
      <c r="P188">
        <f t="shared" si="45"/>
        <v>14188</v>
      </c>
    </row>
    <row r="189" spans="1:16" x14ac:dyDescent="0.25">
      <c r="A189">
        <f t="shared" si="46"/>
        <v>183</v>
      </c>
      <c r="B189">
        <f t="shared" si="47"/>
        <v>4.5750000000000034E-2</v>
      </c>
      <c r="C189">
        <f t="shared" si="32"/>
        <v>0.97236992039767389</v>
      </c>
      <c r="D189">
        <f t="shared" si="33"/>
        <v>0.72537437101228019</v>
      </c>
      <c r="E189">
        <f t="shared" si="34"/>
        <v>0.97236992039767389</v>
      </c>
      <c r="F189">
        <f t="shared" si="35"/>
        <v>0.72537437101228019</v>
      </c>
      <c r="G189">
        <f t="shared" si="36"/>
        <v>0.70533221939972368</v>
      </c>
      <c r="H189">
        <f t="shared" si="37"/>
        <v>31862</v>
      </c>
      <c r="I189">
        <f t="shared" si="38"/>
        <v>31861</v>
      </c>
      <c r="J189">
        <f t="shared" si="39"/>
        <v>23768</v>
      </c>
      <c r="K189">
        <f t="shared" si="40"/>
        <v>1015123321</v>
      </c>
      <c r="L189">
        <f t="shared" si="41"/>
        <v>564917824</v>
      </c>
      <c r="M189">
        <f t="shared" si="42"/>
        <v>23110</v>
      </c>
      <c r="N189">
        <f t="shared" si="43"/>
        <v>23170</v>
      </c>
      <c r="O189">
        <f t="shared" si="44"/>
        <v>23170</v>
      </c>
      <c r="P189">
        <f t="shared" si="45"/>
        <v>14188</v>
      </c>
    </row>
    <row r="190" spans="1:16" x14ac:dyDescent="0.25">
      <c r="A190">
        <f t="shared" si="46"/>
        <v>184</v>
      </c>
      <c r="B190">
        <f t="shared" si="47"/>
        <v>4.6000000000000034E-2</v>
      </c>
      <c r="C190">
        <f t="shared" si="32"/>
        <v>0.95105651629515042</v>
      </c>
      <c r="D190">
        <f t="shared" si="33"/>
        <v>0.66913060635885113</v>
      </c>
      <c r="E190">
        <f t="shared" si="34"/>
        <v>0.95105651629515042</v>
      </c>
      <c r="F190">
        <f t="shared" si="35"/>
        <v>0.66913060635885113</v>
      </c>
      <c r="G190">
        <f t="shared" si="36"/>
        <v>0.6363810234301106</v>
      </c>
      <c r="H190">
        <f t="shared" si="37"/>
        <v>31163</v>
      </c>
      <c r="I190">
        <f t="shared" si="38"/>
        <v>31163</v>
      </c>
      <c r="J190">
        <f t="shared" si="39"/>
        <v>21925</v>
      </c>
      <c r="K190">
        <f t="shared" si="40"/>
        <v>971132569</v>
      </c>
      <c r="L190">
        <f t="shared" si="41"/>
        <v>480705625</v>
      </c>
      <c r="M190">
        <f t="shared" si="42"/>
        <v>20851</v>
      </c>
      <c r="N190">
        <f t="shared" si="43"/>
        <v>23170</v>
      </c>
      <c r="O190">
        <f t="shared" si="44"/>
        <v>23170</v>
      </c>
      <c r="P190">
        <f t="shared" si="45"/>
        <v>14188</v>
      </c>
    </row>
    <row r="191" spans="1:16" x14ac:dyDescent="0.25">
      <c r="A191">
        <f t="shared" si="46"/>
        <v>185</v>
      </c>
      <c r="B191">
        <f t="shared" si="47"/>
        <v>4.6250000000000034E-2</v>
      </c>
      <c r="C191">
        <f t="shared" si="32"/>
        <v>0.92387953251128274</v>
      </c>
      <c r="D191">
        <f t="shared" si="33"/>
        <v>0.60876142900871277</v>
      </c>
      <c r="E191">
        <f t="shared" si="34"/>
        <v>0.92387953251128274</v>
      </c>
      <c r="F191">
        <f t="shared" si="35"/>
        <v>0.60876142900871277</v>
      </c>
      <c r="G191">
        <f t="shared" si="36"/>
        <v>0.56242222444347001</v>
      </c>
      <c r="H191">
        <f t="shared" si="37"/>
        <v>30273</v>
      </c>
      <c r="I191">
        <f t="shared" si="38"/>
        <v>30272</v>
      </c>
      <c r="J191">
        <f t="shared" si="39"/>
        <v>19947</v>
      </c>
      <c r="K191">
        <f t="shared" si="40"/>
        <v>916393984</v>
      </c>
      <c r="L191">
        <f t="shared" si="41"/>
        <v>397882809</v>
      </c>
      <c r="M191">
        <f t="shared" si="42"/>
        <v>18427</v>
      </c>
      <c r="N191">
        <f t="shared" si="43"/>
        <v>23170</v>
      </c>
      <c r="O191">
        <f t="shared" si="44"/>
        <v>23170</v>
      </c>
      <c r="P191">
        <f t="shared" si="45"/>
        <v>14188</v>
      </c>
    </row>
    <row r="192" spans="1:16" x14ac:dyDescent="0.25">
      <c r="A192">
        <f t="shared" si="46"/>
        <v>186</v>
      </c>
      <c r="B192">
        <f t="shared" si="47"/>
        <v>4.6500000000000034E-2</v>
      </c>
      <c r="C192">
        <f t="shared" si="32"/>
        <v>0.8910065241883629</v>
      </c>
      <c r="D192">
        <f t="shared" si="33"/>
        <v>0.54463903501501842</v>
      </c>
      <c r="E192">
        <f t="shared" si="34"/>
        <v>0.8910065241883629</v>
      </c>
      <c r="F192">
        <f t="shared" si="35"/>
        <v>0.54463903501501842</v>
      </c>
      <c r="G192">
        <f t="shared" si="36"/>
        <v>0.48527693352603563</v>
      </c>
      <c r="H192">
        <f t="shared" si="37"/>
        <v>29196</v>
      </c>
      <c r="I192">
        <f t="shared" si="38"/>
        <v>29195</v>
      </c>
      <c r="J192">
        <f t="shared" si="39"/>
        <v>17846</v>
      </c>
      <c r="K192">
        <f t="shared" si="40"/>
        <v>852348025</v>
      </c>
      <c r="L192">
        <f t="shared" si="41"/>
        <v>318479716</v>
      </c>
      <c r="M192">
        <f t="shared" si="42"/>
        <v>15900</v>
      </c>
      <c r="N192">
        <f t="shared" si="43"/>
        <v>23170</v>
      </c>
      <c r="O192">
        <f t="shared" si="44"/>
        <v>23170</v>
      </c>
      <c r="P192">
        <f t="shared" si="45"/>
        <v>14188</v>
      </c>
    </row>
    <row r="193" spans="1:16" x14ac:dyDescent="0.25">
      <c r="A193">
        <f t="shared" si="46"/>
        <v>187</v>
      </c>
      <c r="B193">
        <f t="shared" si="47"/>
        <v>4.6750000000000035E-2</v>
      </c>
      <c r="C193">
        <f t="shared" si="32"/>
        <v>0.85264016435408629</v>
      </c>
      <c r="D193">
        <f t="shared" si="33"/>
        <v>0.47715876025959891</v>
      </c>
      <c r="E193">
        <f t="shared" si="34"/>
        <v>0.85264016435408629</v>
      </c>
      <c r="F193">
        <f t="shared" si="35"/>
        <v>0.47715876025959891</v>
      </c>
      <c r="G193">
        <f t="shared" si="36"/>
        <v>0.40684472377073649</v>
      </c>
      <c r="H193">
        <f t="shared" si="37"/>
        <v>27938</v>
      </c>
      <c r="I193">
        <f t="shared" si="38"/>
        <v>27938</v>
      </c>
      <c r="J193">
        <f t="shared" si="39"/>
        <v>15635</v>
      </c>
      <c r="K193">
        <f t="shared" si="40"/>
        <v>780531844</v>
      </c>
      <c r="L193">
        <f t="shared" si="41"/>
        <v>244453225</v>
      </c>
      <c r="M193">
        <f t="shared" si="42"/>
        <v>13330</v>
      </c>
      <c r="N193">
        <f t="shared" si="43"/>
        <v>23170</v>
      </c>
      <c r="O193">
        <f t="shared" si="44"/>
        <v>23170</v>
      </c>
      <c r="P193">
        <f t="shared" si="45"/>
        <v>14188</v>
      </c>
    </row>
    <row r="194" spans="1:16" x14ac:dyDescent="0.25">
      <c r="A194">
        <f t="shared" si="46"/>
        <v>188</v>
      </c>
      <c r="B194">
        <f t="shared" si="47"/>
        <v>4.7000000000000035E-2</v>
      </c>
      <c r="C194">
        <f t="shared" si="32"/>
        <v>0.80901699437494046</v>
      </c>
      <c r="D194">
        <f t="shared" si="33"/>
        <v>0.40673664307578994</v>
      </c>
      <c r="E194">
        <f t="shared" si="34"/>
        <v>0.80901699437494046</v>
      </c>
      <c r="F194">
        <f t="shared" si="35"/>
        <v>0.40673664307578994</v>
      </c>
      <c r="G194">
        <f t="shared" si="36"/>
        <v>0.3290568564833285</v>
      </c>
      <c r="H194">
        <f t="shared" si="37"/>
        <v>26509</v>
      </c>
      <c r="I194">
        <f t="shared" si="38"/>
        <v>26509</v>
      </c>
      <c r="J194">
        <f t="shared" si="39"/>
        <v>13327</v>
      </c>
      <c r="K194">
        <f t="shared" si="40"/>
        <v>702727081</v>
      </c>
      <c r="L194">
        <f t="shared" si="41"/>
        <v>177608929</v>
      </c>
      <c r="M194">
        <f t="shared" si="42"/>
        <v>10781</v>
      </c>
      <c r="N194">
        <f t="shared" si="43"/>
        <v>23170</v>
      </c>
      <c r="O194">
        <f t="shared" si="44"/>
        <v>23170</v>
      </c>
      <c r="P194">
        <f t="shared" si="45"/>
        <v>14188</v>
      </c>
    </row>
    <row r="195" spans="1:16" x14ac:dyDescent="0.25">
      <c r="A195">
        <f t="shared" si="46"/>
        <v>189</v>
      </c>
      <c r="B195">
        <f t="shared" si="47"/>
        <v>4.7250000000000035E-2</v>
      </c>
      <c r="C195">
        <f t="shared" si="32"/>
        <v>0.76040596560002416</v>
      </c>
      <c r="D195">
        <f t="shared" si="33"/>
        <v>0.33380685923376158</v>
      </c>
      <c r="E195">
        <f t="shared" si="34"/>
        <v>0.76040596560002416</v>
      </c>
      <c r="F195">
        <f t="shared" si="35"/>
        <v>0.33380685923376158</v>
      </c>
      <c r="G195">
        <f t="shared" si="36"/>
        <v>0.25382872711955984</v>
      </c>
      <c r="H195">
        <f t="shared" si="37"/>
        <v>24916</v>
      </c>
      <c r="I195">
        <f t="shared" si="38"/>
        <v>24916</v>
      </c>
      <c r="J195">
        <f t="shared" si="39"/>
        <v>10937</v>
      </c>
      <c r="K195">
        <f t="shared" si="40"/>
        <v>620807056</v>
      </c>
      <c r="L195">
        <f t="shared" si="41"/>
        <v>119617969</v>
      </c>
      <c r="M195">
        <f t="shared" si="42"/>
        <v>8316</v>
      </c>
      <c r="N195">
        <f t="shared" si="43"/>
        <v>23170</v>
      </c>
      <c r="O195">
        <f t="shared" si="44"/>
        <v>23170</v>
      </c>
      <c r="P195">
        <f t="shared" si="45"/>
        <v>14188</v>
      </c>
    </row>
    <row r="196" spans="1:16" x14ac:dyDescent="0.25">
      <c r="A196">
        <f t="shared" si="46"/>
        <v>190</v>
      </c>
      <c r="B196">
        <f t="shared" si="47"/>
        <v>4.7500000000000035E-2</v>
      </c>
      <c r="C196">
        <f t="shared" si="32"/>
        <v>0.7071067811865398</v>
      </c>
      <c r="D196">
        <f t="shared" si="33"/>
        <v>0.25881904510251075</v>
      </c>
      <c r="E196">
        <f t="shared" si="34"/>
        <v>0.7071067811865398</v>
      </c>
      <c r="F196">
        <f t="shared" si="35"/>
        <v>0.25881904510251075</v>
      </c>
      <c r="G196">
        <f t="shared" si="36"/>
        <v>0.18301270189221025</v>
      </c>
      <c r="H196">
        <f t="shared" si="37"/>
        <v>23170</v>
      </c>
      <c r="I196">
        <f t="shared" si="38"/>
        <v>23169</v>
      </c>
      <c r="J196">
        <f t="shared" si="39"/>
        <v>8480</v>
      </c>
      <c r="K196">
        <f t="shared" si="40"/>
        <v>536802561</v>
      </c>
      <c r="L196">
        <f t="shared" si="41"/>
        <v>71910400</v>
      </c>
      <c r="M196">
        <f t="shared" si="42"/>
        <v>5995</v>
      </c>
      <c r="N196">
        <f t="shared" si="43"/>
        <v>23170</v>
      </c>
      <c r="O196">
        <f t="shared" si="44"/>
        <v>23170</v>
      </c>
      <c r="P196">
        <f t="shared" si="45"/>
        <v>14188</v>
      </c>
    </row>
    <row r="197" spans="1:16" x14ac:dyDescent="0.25">
      <c r="A197">
        <f t="shared" si="46"/>
        <v>191</v>
      </c>
      <c r="B197">
        <f t="shared" si="47"/>
        <v>4.7750000000000035E-2</v>
      </c>
      <c r="C197">
        <f t="shared" si="32"/>
        <v>0.649448048330175</v>
      </c>
      <c r="D197">
        <f t="shared" si="33"/>
        <v>0.18223552549213684</v>
      </c>
      <c r="E197">
        <f t="shared" si="34"/>
        <v>0.649448048330175</v>
      </c>
      <c r="F197">
        <f t="shared" si="35"/>
        <v>0.18223552549213684</v>
      </c>
      <c r="G197">
        <f t="shared" si="36"/>
        <v>0.11835250636729212</v>
      </c>
      <c r="H197">
        <f t="shared" si="37"/>
        <v>21280</v>
      </c>
      <c r="I197">
        <f t="shared" si="38"/>
        <v>21280</v>
      </c>
      <c r="J197">
        <f t="shared" si="39"/>
        <v>5971</v>
      </c>
      <c r="K197">
        <f t="shared" si="40"/>
        <v>452838400</v>
      </c>
      <c r="L197">
        <f t="shared" si="41"/>
        <v>35652841</v>
      </c>
      <c r="M197">
        <f t="shared" si="42"/>
        <v>3877</v>
      </c>
      <c r="N197">
        <f t="shared" si="43"/>
        <v>23170</v>
      </c>
      <c r="O197">
        <f t="shared" si="44"/>
        <v>23170</v>
      </c>
      <c r="P197">
        <f t="shared" si="45"/>
        <v>14188</v>
      </c>
    </row>
    <row r="198" spans="1:16" x14ac:dyDescent="0.25">
      <c r="A198">
        <f t="shared" si="46"/>
        <v>192</v>
      </c>
      <c r="B198">
        <f t="shared" si="47"/>
        <v>4.8000000000000036E-2</v>
      </c>
      <c r="C198">
        <f t="shared" si="32"/>
        <v>0.58778525229246359</v>
      </c>
      <c r="D198">
        <f t="shared" si="33"/>
        <v>0.1045284632676423</v>
      </c>
      <c r="E198">
        <f t="shared" si="34"/>
        <v>0.58778525229246359</v>
      </c>
      <c r="F198">
        <f t="shared" si="35"/>
        <v>0.1045284632676423</v>
      </c>
      <c r="G198">
        <f t="shared" si="36"/>
        <v>6.1440289153514641E-2</v>
      </c>
      <c r="H198">
        <f t="shared" si="37"/>
        <v>19260</v>
      </c>
      <c r="I198">
        <f t="shared" si="38"/>
        <v>19259</v>
      </c>
      <c r="J198">
        <f t="shared" si="39"/>
        <v>3425</v>
      </c>
      <c r="K198">
        <f t="shared" si="40"/>
        <v>370909081</v>
      </c>
      <c r="L198">
        <f t="shared" si="41"/>
        <v>11730625</v>
      </c>
      <c r="M198">
        <f t="shared" si="42"/>
        <v>2013</v>
      </c>
      <c r="N198">
        <f t="shared" si="43"/>
        <v>23170</v>
      </c>
      <c r="O198">
        <f t="shared" si="44"/>
        <v>23170</v>
      </c>
      <c r="P198">
        <f t="shared" si="45"/>
        <v>14188</v>
      </c>
    </row>
    <row r="199" spans="1:16" x14ac:dyDescent="0.25">
      <c r="A199">
        <f t="shared" si="46"/>
        <v>193</v>
      </c>
      <c r="B199">
        <f t="shared" si="47"/>
        <v>4.8250000000000036E-2</v>
      </c>
      <c r="C199">
        <f t="shared" ref="C199:C262" si="48">SIN(2*PI()*$C$4*B199)</f>
        <v>0.52249856471593992</v>
      </c>
      <c r="D199">
        <f t="shared" ref="D199:D262" si="49">SIN(2*PI()*$C$4*B199+$C$3*PI()/180)</f>
        <v>2.6176948307863258E-2</v>
      </c>
      <c r="E199">
        <f t="shared" ref="E199:E262" si="50">C199*$C$1</f>
        <v>0.52249856471593992</v>
      </c>
      <c r="F199">
        <f t="shared" ref="F199:F262" si="51">D199*$C$2</f>
        <v>2.6176948307863258E-2</v>
      </c>
      <c r="G199">
        <f t="shared" ref="G199:G262" si="52">E199*F199</f>
        <v>1.3677417919501904E-2</v>
      </c>
      <c r="H199">
        <f t="shared" ref="H199:H262" si="53">IF(C199&gt;0,ROUND(C199*$F$2,0),ROUND(C199*$F$1,0))</f>
        <v>17121</v>
      </c>
      <c r="I199">
        <f t="shared" ref="I199:I262" si="54">IF(E199&gt;0,_xlfn.FLOOR.MATH(E199*$F$2),_xlfn.FLOOR.MATH(E199*$F$1))</f>
        <v>17120</v>
      </c>
      <c r="J199">
        <f t="shared" ref="J199:J262" si="55">IF(F199&gt;0,_xlfn.FLOOR.MATH(F199*$F$2),_xlfn.FLOOR.MATH(F199*$F$1))</f>
        <v>857</v>
      </c>
      <c r="K199">
        <f t="shared" ref="K199:K262" si="56">_xlfn.FLOOR.MATH(I199*I199)</f>
        <v>293094400</v>
      </c>
      <c r="L199">
        <f t="shared" ref="L199:L262" si="57">_xlfn.FLOOR.MATH(J199*J199)</f>
        <v>734449</v>
      </c>
      <c r="M199">
        <f t="shared" ref="M199:M262" si="58">_xlfn.FLOOR.MATH((I199*J199)/$F$1)</f>
        <v>447</v>
      </c>
      <c r="N199">
        <f t="shared" ref="N199:N225" si="59">_xlfn.FLOOR.MATH(SQRT(SUM(K199:K358)/160))</f>
        <v>23170</v>
      </c>
      <c r="O199">
        <f t="shared" ref="O199:O225" si="60">_xlfn.FLOOR.MATH(SQRT(SUM(L199:L278)/$F$3))</f>
        <v>23170</v>
      </c>
      <c r="P199">
        <f t="shared" ref="P199:P262" si="61">_xlfn.FLOOR.MATH(SUM(M199:M278)/$F$3)</f>
        <v>14188</v>
      </c>
    </row>
    <row r="200" spans="1:16" x14ac:dyDescent="0.25">
      <c r="A200">
        <f t="shared" ref="A200:A263" si="62">A199+1</f>
        <v>194</v>
      </c>
      <c r="B200">
        <f t="shared" ref="B200:B263" si="63">B199+(1/4000)</f>
        <v>4.8500000000000036E-2</v>
      </c>
      <c r="C200">
        <f t="shared" si="48"/>
        <v>0.45399049973953703</v>
      </c>
      <c r="D200">
        <f t="shared" si="49"/>
        <v>-5.233595624295416E-2</v>
      </c>
      <c r="E200">
        <f t="shared" si="50"/>
        <v>0.45399049973953703</v>
      </c>
      <c r="F200">
        <f t="shared" si="51"/>
        <v>-5.233595624295416E-2</v>
      </c>
      <c r="G200">
        <f t="shared" si="52"/>
        <v>-2.3760026929085302E-2</v>
      </c>
      <c r="H200">
        <f t="shared" si="53"/>
        <v>14876</v>
      </c>
      <c r="I200">
        <f t="shared" si="54"/>
        <v>14875</v>
      </c>
      <c r="J200">
        <f t="shared" si="55"/>
        <v>-1715</v>
      </c>
      <c r="K200">
        <f t="shared" si="56"/>
        <v>221265625</v>
      </c>
      <c r="L200">
        <f t="shared" si="57"/>
        <v>2941225</v>
      </c>
      <c r="M200">
        <f t="shared" si="58"/>
        <v>-779</v>
      </c>
      <c r="N200">
        <f t="shared" si="59"/>
        <v>23170</v>
      </c>
      <c r="O200">
        <f t="shared" si="60"/>
        <v>23170</v>
      </c>
      <c r="P200">
        <f t="shared" si="61"/>
        <v>14188</v>
      </c>
    </row>
    <row r="201" spans="1:16" x14ac:dyDescent="0.25">
      <c r="A201">
        <f t="shared" si="62"/>
        <v>195</v>
      </c>
      <c r="B201">
        <f t="shared" si="63"/>
        <v>4.8750000000000036E-2</v>
      </c>
      <c r="C201">
        <f t="shared" si="48"/>
        <v>0.38268343236507923</v>
      </c>
      <c r="D201">
        <f t="shared" si="49"/>
        <v>-0.13052619222006229</v>
      </c>
      <c r="E201">
        <f t="shared" si="50"/>
        <v>0.38268343236507923</v>
      </c>
      <c r="F201">
        <f t="shared" si="51"/>
        <v>-0.13052619222006229</v>
      </c>
      <c r="G201">
        <f t="shared" si="52"/>
        <v>-4.9950211252317536E-2</v>
      </c>
      <c r="H201">
        <f t="shared" si="53"/>
        <v>12539</v>
      </c>
      <c r="I201">
        <f t="shared" si="54"/>
        <v>12539</v>
      </c>
      <c r="J201">
        <f t="shared" si="55"/>
        <v>-4278</v>
      </c>
      <c r="K201">
        <f t="shared" si="56"/>
        <v>157226521</v>
      </c>
      <c r="L201">
        <f t="shared" si="57"/>
        <v>18301284</v>
      </c>
      <c r="M201">
        <f t="shared" si="58"/>
        <v>-1638</v>
      </c>
      <c r="N201">
        <f t="shared" si="59"/>
        <v>23170</v>
      </c>
      <c r="O201">
        <f t="shared" si="60"/>
        <v>23170</v>
      </c>
      <c r="P201">
        <f t="shared" si="61"/>
        <v>14188</v>
      </c>
    </row>
    <row r="202" spans="1:16" x14ac:dyDescent="0.25">
      <c r="A202">
        <f t="shared" si="62"/>
        <v>196</v>
      </c>
      <c r="B202">
        <f t="shared" si="63"/>
        <v>4.9000000000000037E-2</v>
      </c>
      <c r="C202">
        <f t="shared" si="48"/>
        <v>0.30901699437493618</v>
      </c>
      <c r="D202">
        <f t="shared" si="49"/>
        <v>-0.20791169081777031</v>
      </c>
      <c r="E202">
        <f t="shared" si="50"/>
        <v>0.30901699437493618</v>
      </c>
      <c r="F202">
        <f t="shared" si="51"/>
        <v>-0.20791169081777031</v>
      </c>
      <c r="G202">
        <f t="shared" si="52"/>
        <v>-6.4248245791918401E-2</v>
      </c>
      <c r="H202">
        <f t="shared" si="53"/>
        <v>10126</v>
      </c>
      <c r="I202">
        <f t="shared" si="54"/>
        <v>10125</v>
      </c>
      <c r="J202">
        <f t="shared" si="55"/>
        <v>-6813</v>
      </c>
      <c r="K202">
        <f t="shared" si="56"/>
        <v>102515625</v>
      </c>
      <c r="L202">
        <f t="shared" si="57"/>
        <v>46416969</v>
      </c>
      <c r="M202">
        <f t="shared" si="58"/>
        <v>-2106</v>
      </c>
      <c r="N202">
        <f t="shared" si="59"/>
        <v>23170</v>
      </c>
      <c r="O202">
        <f t="shared" si="60"/>
        <v>23170</v>
      </c>
      <c r="P202">
        <f t="shared" si="61"/>
        <v>14188</v>
      </c>
    </row>
    <row r="203" spans="1:16" x14ac:dyDescent="0.25">
      <c r="A203">
        <f t="shared" si="62"/>
        <v>197</v>
      </c>
      <c r="B203">
        <f t="shared" si="63"/>
        <v>4.9250000000000037E-2</v>
      </c>
      <c r="C203">
        <f t="shared" si="48"/>
        <v>0.23344536385589348</v>
      </c>
      <c r="D203">
        <f t="shared" si="49"/>
        <v>-0.2840153447039338</v>
      </c>
      <c r="E203">
        <f t="shared" si="50"/>
        <v>0.23344536385589348</v>
      </c>
      <c r="F203">
        <f t="shared" si="51"/>
        <v>-0.2840153447039338</v>
      </c>
      <c r="G203">
        <f t="shared" si="52"/>
        <v>-6.6302065485066841E-2</v>
      </c>
      <c r="H203">
        <f t="shared" si="53"/>
        <v>7649</v>
      </c>
      <c r="I203">
        <f t="shared" si="54"/>
        <v>7649</v>
      </c>
      <c r="J203">
        <f t="shared" si="55"/>
        <v>-9307</v>
      </c>
      <c r="K203">
        <f t="shared" si="56"/>
        <v>58507201</v>
      </c>
      <c r="L203">
        <f t="shared" si="57"/>
        <v>86620249</v>
      </c>
      <c r="M203">
        <f t="shared" si="58"/>
        <v>-2173</v>
      </c>
      <c r="N203">
        <f t="shared" si="59"/>
        <v>23170</v>
      </c>
      <c r="O203">
        <f t="shared" si="60"/>
        <v>23170</v>
      </c>
      <c r="P203">
        <f t="shared" si="61"/>
        <v>14188</v>
      </c>
    </row>
    <row r="204" spans="1:16" x14ac:dyDescent="0.25">
      <c r="A204">
        <f t="shared" si="62"/>
        <v>198</v>
      </c>
      <c r="B204">
        <f t="shared" si="63"/>
        <v>4.9500000000000037E-2</v>
      </c>
      <c r="C204">
        <f t="shared" si="48"/>
        <v>0.15643446504022007</v>
      </c>
      <c r="D204">
        <f t="shared" si="49"/>
        <v>-0.35836794954531159</v>
      </c>
      <c r="E204">
        <f t="shared" si="50"/>
        <v>0.15643446504022007</v>
      </c>
      <c r="F204">
        <f t="shared" si="51"/>
        <v>-0.35836794954531159</v>
      </c>
      <c r="G204">
        <f t="shared" si="52"/>
        <v>-5.6061098474681395E-2</v>
      </c>
      <c r="H204">
        <f t="shared" si="53"/>
        <v>5126</v>
      </c>
      <c r="I204">
        <f t="shared" si="54"/>
        <v>5125</v>
      </c>
      <c r="J204">
        <f t="shared" si="55"/>
        <v>-11744</v>
      </c>
      <c r="K204">
        <f t="shared" si="56"/>
        <v>26265625</v>
      </c>
      <c r="L204">
        <f t="shared" si="57"/>
        <v>137921536</v>
      </c>
      <c r="M204">
        <f t="shared" si="58"/>
        <v>-1837</v>
      </c>
      <c r="N204">
        <f t="shared" si="59"/>
        <v>23170</v>
      </c>
      <c r="O204">
        <f t="shared" si="60"/>
        <v>23170</v>
      </c>
      <c r="P204">
        <f t="shared" si="61"/>
        <v>14188</v>
      </c>
    </row>
    <row r="205" spans="1:16" x14ac:dyDescent="0.25">
      <c r="A205">
        <f t="shared" si="62"/>
        <v>199</v>
      </c>
      <c r="B205">
        <f t="shared" si="63"/>
        <v>4.9750000000000037E-2</v>
      </c>
      <c r="C205">
        <f t="shared" si="48"/>
        <v>7.8459095727833605E-2</v>
      </c>
      <c r="D205">
        <f t="shared" si="49"/>
        <v>-0.43051109680830646</v>
      </c>
      <c r="E205">
        <f t="shared" si="50"/>
        <v>7.8459095727833605E-2</v>
      </c>
      <c r="F205">
        <f t="shared" si="51"/>
        <v>-0.43051109680830646</v>
      </c>
      <c r="G205">
        <f t="shared" si="52"/>
        <v>-3.3777511356377556E-2</v>
      </c>
      <c r="H205">
        <f t="shared" si="53"/>
        <v>2571</v>
      </c>
      <c r="I205">
        <f t="shared" si="54"/>
        <v>2570</v>
      </c>
      <c r="J205">
        <f t="shared" si="55"/>
        <v>-14107</v>
      </c>
      <c r="K205">
        <f t="shared" si="56"/>
        <v>6604900</v>
      </c>
      <c r="L205">
        <f t="shared" si="57"/>
        <v>199007449</v>
      </c>
      <c r="M205">
        <f t="shared" si="58"/>
        <v>-1107</v>
      </c>
      <c r="N205">
        <f t="shared" si="59"/>
        <v>23170</v>
      </c>
      <c r="O205">
        <f t="shared" si="60"/>
        <v>23170</v>
      </c>
      <c r="P205">
        <f t="shared" si="61"/>
        <v>14188</v>
      </c>
    </row>
    <row r="206" spans="1:16" x14ac:dyDescent="0.25">
      <c r="A206">
        <f t="shared" si="62"/>
        <v>200</v>
      </c>
      <c r="B206">
        <f t="shared" si="63"/>
        <v>5.0000000000000037E-2</v>
      </c>
      <c r="C206">
        <f t="shared" si="48"/>
        <v>-1.1821923648347443E-14</v>
      </c>
      <c r="D206">
        <f t="shared" si="49"/>
        <v>-0.50000000000001121</v>
      </c>
      <c r="E206">
        <f t="shared" si="50"/>
        <v>-1.1821923648347443E-14</v>
      </c>
      <c r="F206">
        <f t="shared" si="51"/>
        <v>-0.50000000000001121</v>
      </c>
      <c r="G206">
        <f t="shared" si="52"/>
        <v>5.9109618241738542E-15</v>
      </c>
      <c r="H206">
        <f t="shared" si="53"/>
        <v>0</v>
      </c>
      <c r="I206">
        <f t="shared" si="54"/>
        <v>-1</v>
      </c>
      <c r="J206">
        <f t="shared" si="55"/>
        <v>-16385</v>
      </c>
      <c r="K206">
        <f t="shared" si="56"/>
        <v>1</v>
      </c>
      <c r="L206">
        <f t="shared" si="57"/>
        <v>268468225</v>
      </c>
      <c r="M206">
        <f t="shared" si="58"/>
        <v>0</v>
      </c>
      <c r="N206">
        <f t="shared" si="59"/>
        <v>23170</v>
      </c>
      <c r="O206">
        <f t="shared" si="60"/>
        <v>23170</v>
      </c>
      <c r="P206">
        <f t="shared" si="61"/>
        <v>14188</v>
      </c>
    </row>
    <row r="207" spans="1:16" x14ac:dyDescent="0.25">
      <c r="A207">
        <f t="shared" si="62"/>
        <v>201</v>
      </c>
      <c r="B207">
        <f t="shared" si="63"/>
        <v>5.0250000000000038E-2</v>
      </c>
      <c r="C207">
        <f t="shared" si="48"/>
        <v>-7.845909572785717E-2</v>
      </c>
      <c r="D207">
        <f t="shared" si="49"/>
        <v>-0.56640623692484393</v>
      </c>
      <c r="E207">
        <f t="shared" si="50"/>
        <v>-7.845909572785717E-2</v>
      </c>
      <c r="F207">
        <f t="shared" si="51"/>
        <v>-0.56640623692484393</v>
      </c>
      <c r="G207">
        <f t="shared" si="52"/>
        <v>4.4439721163741681E-2</v>
      </c>
      <c r="H207">
        <f t="shared" si="53"/>
        <v>-2571</v>
      </c>
      <c r="I207">
        <f t="shared" si="54"/>
        <v>-2571</v>
      </c>
      <c r="J207">
        <f t="shared" si="55"/>
        <v>-18560</v>
      </c>
      <c r="K207">
        <f t="shared" si="56"/>
        <v>6610041</v>
      </c>
      <c r="L207">
        <f t="shared" si="57"/>
        <v>344473600</v>
      </c>
      <c r="M207">
        <f t="shared" si="58"/>
        <v>1456</v>
      </c>
      <c r="N207">
        <f t="shared" si="59"/>
        <v>23170</v>
      </c>
      <c r="O207">
        <f t="shared" si="60"/>
        <v>23170</v>
      </c>
      <c r="P207">
        <f t="shared" si="61"/>
        <v>14188</v>
      </c>
    </row>
    <row r="208" spans="1:16" x14ac:dyDescent="0.25">
      <c r="A208">
        <f t="shared" si="62"/>
        <v>202</v>
      </c>
      <c r="B208">
        <f t="shared" si="63"/>
        <v>5.0500000000000038E-2</v>
      </c>
      <c r="C208">
        <f t="shared" si="48"/>
        <v>-0.15643446504024341</v>
      </c>
      <c r="D208">
        <f t="shared" si="49"/>
        <v>-0.62932039104984827</v>
      </c>
      <c r="E208">
        <f t="shared" si="50"/>
        <v>-0.15643446504024341</v>
      </c>
      <c r="F208">
        <f t="shared" si="51"/>
        <v>-0.62932039104984827</v>
      </c>
      <c r="G208">
        <f t="shared" si="52"/>
        <v>9.8447398712799811E-2</v>
      </c>
      <c r="H208">
        <f t="shared" si="53"/>
        <v>-5126</v>
      </c>
      <c r="I208">
        <f t="shared" si="54"/>
        <v>-5127</v>
      </c>
      <c r="J208">
        <f t="shared" si="55"/>
        <v>-20622</v>
      </c>
      <c r="K208">
        <f t="shared" si="56"/>
        <v>26286129</v>
      </c>
      <c r="L208">
        <f t="shared" si="57"/>
        <v>425266884</v>
      </c>
      <c r="M208">
        <f t="shared" si="58"/>
        <v>3226</v>
      </c>
      <c r="N208">
        <f t="shared" si="59"/>
        <v>23170</v>
      </c>
      <c r="O208">
        <f t="shared" si="60"/>
        <v>23170</v>
      </c>
      <c r="P208">
        <f t="shared" si="61"/>
        <v>14188</v>
      </c>
    </row>
    <row r="209" spans="1:16" x14ac:dyDescent="0.25">
      <c r="A209">
        <f t="shared" si="62"/>
        <v>203</v>
      </c>
      <c r="B209">
        <f t="shared" si="63"/>
        <v>5.0750000000000038E-2</v>
      </c>
      <c r="C209">
        <f t="shared" si="48"/>
        <v>-0.23344536385591647</v>
      </c>
      <c r="D209">
        <f t="shared" si="49"/>
        <v>-0.68835457569376179</v>
      </c>
      <c r="E209">
        <f t="shared" si="50"/>
        <v>-0.23344536385591647</v>
      </c>
      <c r="F209">
        <f t="shared" si="51"/>
        <v>-0.68835457569376179</v>
      </c>
      <c r="G209">
        <f t="shared" si="52"/>
        <v>0.16069318438471522</v>
      </c>
      <c r="H209">
        <f t="shared" si="53"/>
        <v>-7650</v>
      </c>
      <c r="I209">
        <f t="shared" si="54"/>
        <v>-7650</v>
      </c>
      <c r="J209">
        <f t="shared" si="55"/>
        <v>-22557</v>
      </c>
      <c r="K209">
        <f t="shared" si="56"/>
        <v>58522500</v>
      </c>
      <c r="L209">
        <f t="shared" si="57"/>
        <v>508818249</v>
      </c>
      <c r="M209">
        <f t="shared" si="58"/>
        <v>5266</v>
      </c>
      <c r="N209">
        <f t="shared" si="59"/>
        <v>23170</v>
      </c>
      <c r="O209">
        <f t="shared" si="60"/>
        <v>23170</v>
      </c>
      <c r="P209">
        <f t="shared" si="61"/>
        <v>14188</v>
      </c>
    </row>
    <row r="210" spans="1:16" x14ac:dyDescent="0.25">
      <c r="A210">
        <f t="shared" si="62"/>
        <v>204</v>
      </c>
      <c r="B210">
        <f t="shared" si="63"/>
        <v>5.1000000000000038E-2</v>
      </c>
      <c r="C210">
        <f t="shared" si="48"/>
        <v>-0.30901699437495866</v>
      </c>
      <c r="D210">
        <f t="shared" si="49"/>
        <v>-0.74314482547740168</v>
      </c>
      <c r="E210">
        <f t="shared" si="50"/>
        <v>-0.30901699437495866</v>
      </c>
      <c r="F210">
        <f t="shared" si="51"/>
        <v>-0.74314482547740168</v>
      </c>
      <c r="G210">
        <f t="shared" si="52"/>
        <v>0.22964438035432988</v>
      </c>
      <c r="H210">
        <f t="shared" si="53"/>
        <v>-10126</v>
      </c>
      <c r="I210">
        <f t="shared" si="54"/>
        <v>-10126</v>
      </c>
      <c r="J210">
        <f t="shared" si="55"/>
        <v>-24352</v>
      </c>
      <c r="K210">
        <f t="shared" si="56"/>
        <v>102535876</v>
      </c>
      <c r="L210">
        <f t="shared" si="57"/>
        <v>593019904</v>
      </c>
      <c r="M210">
        <f t="shared" si="58"/>
        <v>7525</v>
      </c>
      <c r="N210">
        <f t="shared" si="59"/>
        <v>23170</v>
      </c>
      <c r="O210">
        <f t="shared" si="60"/>
        <v>23170</v>
      </c>
      <c r="P210">
        <f t="shared" si="61"/>
        <v>14188</v>
      </c>
    </row>
    <row r="211" spans="1:16" x14ac:dyDescent="0.25">
      <c r="A211">
        <f t="shared" si="62"/>
        <v>205</v>
      </c>
      <c r="B211">
        <f t="shared" si="63"/>
        <v>5.1250000000000039E-2</v>
      </c>
      <c r="C211">
        <f t="shared" si="48"/>
        <v>-0.38268343236510111</v>
      </c>
      <c r="D211">
        <f t="shared" si="49"/>
        <v>-0.79335334029124227</v>
      </c>
      <c r="E211">
        <f t="shared" si="50"/>
        <v>-0.38268343236510111</v>
      </c>
      <c r="F211">
        <f t="shared" si="51"/>
        <v>-0.79335334029124227</v>
      </c>
      <c r="G211">
        <f t="shared" si="52"/>
        <v>0.30360317934097064</v>
      </c>
      <c r="H211">
        <f t="shared" si="53"/>
        <v>-12540</v>
      </c>
      <c r="I211">
        <f t="shared" si="54"/>
        <v>-12540</v>
      </c>
      <c r="J211">
        <f t="shared" si="55"/>
        <v>-25997</v>
      </c>
      <c r="K211">
        <f t="shared" si="56"/>
        <v>157251600</v>
      </c>
      <c r="L211">
        <f t="shared" si="57"/>
        <v>675844009</v>
      </c>
      <c r="M211">
        <f t="shared" si="58"/>
        <v>9948</v>
      </c>
      <c r="N211">
        <f t="shared" si="59"/>
        <v>23170</v>
      </c>
      <c r="O211">
        <f t="shared" si="60"/>
        <v>23170</v>
      </c>
      <c r="P211">
        <f t="shared" si="61"/>
        <v>14188</v>
      </c>
    </row>
    <row r="212" spans="1:16" x14ac:dyDescent="0.25">
      <c r="A212">
        <f t="shared" si="62"/>
        <v>206</v>
      </c>
      <c r="B212">
        <f t="shared" si="63"/>
        <v>5.1500000000000039E-2</v>
      </c>
      <c r="C212">
        <f t="shared" si="48"/>
        <v>-0.45399049973955807</v>
      </c>
      <c r="D212">
        <f t="shared" si="49"/>
        <v>-0.8386705679454306</v>
      </c>
      <c r="E212">
        <f t="shared" si="50"/>
        <v>-0.45399049973955807</v>
      </c>
      <c r="F212">
        <f t="shared" si="51"/>
        <v>-0.8386705679454306</v>
      </c>
      <c r="G212">
        <f t="shared" si="52"/>
        <v>0.38074847025840503</v>
      </c>
      <c r="H212">
        <f t="shared" si="53"/>
        <v>-14876</v>
      </c>
      <c r="I212">
        <f t="shared" si="54"/>
        <v>-14877</v>
      </c>
      <c r="J212">
        <f t="shared" si="55"/>
        <v>-27482</v>
      </c>
      <c r="K212">
        <f t="shared" si="56"/>
        <v>221325129</v>
      </c>
      <c r="L212">
        <f t="shared" si="57"/>
        <v>755260324</v>
      </c>
      <c r="M212">
        <f t="shared" si="58"/>
        <v>12477</v>
      </c>
      <c r="N212">
        <f t="shared" si="59"/>
        <v>23170</v>
      </c>
      <c r="O212">
        <f t="shared" si="60"/>
        <v>23170</v>
      </c>
      <c r="P212">
        <f t="shared" si="61"/>
        <v>14188</v>
      </c>
    </row>
    <row r="213" spans="1:16" x14ac:dyDescent="0.25">
      <c r="A213">
        <f t="shared" si="62"/>
        <v>207</v>
      </c>
      <c r="B213">
        <f t="shared" si="63"/>
        <v>5.1750000000000039E-2</v>
      </c>
      <c r="C213">
        <f t="shared" si="48"/>
        <v>-0.52249856471596001</v>
      </c>
      <c r="D213">
        <f t="shared" si="49"/>
        <v>-0.87881711266197138</v>
      </c>
      <c r="E213">
        <f t="shared" si="50"/>
        <v>-0.52249856471596001</v>
      </c>
      <c r="F213">
        <f t="shared" si="51"/>
        <v>-0.87881711266197138</v>
      </c>
      <c r="G213">
        <f t="shared" si="52"/>
        <v>0.45918068001370416</v>
      </c>
      <c r="H213">
        <f t="shared" si="53"/>
        <v>-17121</v>
      </c>
      <c r="I213">
        <f t="shared" si="54"/>
        <v>-17122</v>
      </c>
      <c r="J213">
        <f t="shared" si="55"/>
        <v>-28798</v>
      </c>
      <c r="K213">
        <f t="shared" si="56"/>
        <v>293162884</v>
      </c>
      <c r="L213">
        <f t="shared" si="57"/>
        <v>829324804</v>
      </c>
      <c r="M213">
        <f t="shared" si="58"/>
        <v>15047</v>
      </c>
      <c r="N213">
        <f t="shared" si="59"/>
        <v>23170</v>
      </c>
      <c r="O213">
        <f t="shared" si="60"/>
        <v>23170</v>
      </c>
      <c r="P213">
        <f t="shared" si="61"/>
        <v>14188</v>
      </c>
    </row>
    <row r="214" spans="1:16" x14ac:dyDescent="0.25">
      <c r="A214">
        <f t="shared" si="62"/>
        <v>208</v>
      </c>
      <c r="B214">
        <f t="shared" si="63"/>
        <v>5.2000000000000039E-2</v>
      </c>
      <c r="C214">
        <f t="shared" si="48"/>
        <v>-0.58778525229248413</v>
      </c>
      <c r="D214">
        <f t="shared" si="49"/>
        <v>-0.9135454576426062</v>
      </c>
      <c r="E214">
        <f t="shared" si="50"/>
        <v>-0.58778525229248413</v>
      </c>
      <c r="F214">
        <f t="shared" si="51"/>
        <v>-0.9135454576426062</v>
      </c>
      <c r="G214">
        <f t="shared" si="52"/>
        <v>0.53696854730111221</v>
      </c>
      <c r="H214">
        <f t="shared" si="53"/>
        <v>-19261</v>
      </c>
      <c r="I214">
        <f t="shared" si="54"/>
        <v>-19261</v>
      </c>
      <c r="J214">
        <f t="shared" si="55"/>
        <v>-29936</v>
      </c>
      <c r="K214">
        <f t="shared" si="56"/>
        <v>370986121</v>
      </c>
      <c r="L214">
        <f t="shared" si="57"/>
        <v>896164096</v>
      </c>
      <c r="M214">
        <f t="shared" si="58"/>
        <v>17596</v>
      </c>
      <c r="N214">
        <f t="shared" si="59"/>
        <v>23170</v>
      </c>
      <c r="O214">
        <f t="shared" si="60"/>
        <v>23170</v>
      </c>
      <c r="P214">
        <f t="shared" si="61"/>
        <v>14188</v>
      </c>
    </row>
    <row r="215" spans="1:16" x14ac:dyDescent="0.25">
      <c r="A215">
        <f t="shared" si="62"/>
        <v>209</v>
      </c>
      <c r="B215">
        <f t="shared" si="63"/>
        <v>5.2250000000000039E-2</v>
      </c>
      <c r="C215">
        <f t="shared" si="48"/>
        <v>-0.64944804833019432</v>
      </c>
      <c r="D215">
        <f t="shared" si="49"/>
        <v>-0.94264149109218287</v>
      </c>
      <c r="E215">
        <f t="shared" si="50"/>
        <v>-0.64944804833019432</v>
      </c>
      <c r="F215">
        <f t="shared" si="51"/>
        <v>-0.94264149109218287</v>
      </c>
      <c r="G215">
        <f t="shared" si="52"/>
        <v>0.61219667666488242</v>
      </c>
      <c r="H215">
        <f t="shared" si="53"/>
        <v>-21281</v>
      </c>
      <c r="I215">
        <f t="shared" si="54"/>
        <v>-21282</v>
      </c>
      <c r="J215">
        <f t="shared" si="55"/>
        <v>-30889</v>
      </c>
      <c r="K215">
        <f t="shared" si="56"/>
        <v>452923524</v>
      </c>
      <c r="L215">
        <f t="shared" si="57"/>
        <v>954130321</v>
      </c>
      <c r="M215">
        <f t="shared" si="58"/>
        <v>20061</v>
      </c>
      <c r="N215">
        <f t="shared" si="59"/>
        <v>23170</v>
      </c>
      <c r="O215">
        <f t="shared" si="60"/>
        <v>23170</v>
      </c>
      <c r="P215">
        <f t="shared" si="61"/>
        <v>14188</v>
      </c>
    </row>
    <row r="216" spans="1:16" x14ac:dyDescent="0.25">
      <c r="A216">
        <f t="shared" si="62"/>
        <v>210</v>
      </c>
      <c r="B216">
        <f t="shared" si="63"/>
        <v>5.250000000000004E-2</v>
      </c>
      <c r="C216">
        <f t="shared" si="48"/>
        <v>-0.70710678118655523</v>
      </c>
      <c r="D216">
        <f t="shared" si="49"/>
        <v>-0.96592582628907098</v>
      </c>
      <c r="E216">
        <f t="shared" si="50"/>
        <v>-0.70710678118655523</v>
      </c>
      <c r="F216">
        <f t="shared" si="51"/>
        <v>-0.96592582628907098</v>
      </c>
      <c r="G216">
        <f t="shared" si="52"/>
        <v>0.68301270189222862</v>
      </c>
      <c r="H216">
        <f t="shared" si="53"/>
        <v>-23170</v>
      </c>
      <c r="I216">
        <f t="shared" si="54"/>
        <v>-23171</v>
      </c>
      <c r="J216">
        <f t="shared" si="55"/>
        <v>-31652</v>
      </c>
      <c r="K216">
        <f t="shared" si="56"/>
        <v>536895241</v>
      </c>
      <c r="L216">
        <f t="shared" si="57"/>
        <v>1001849104</v>
      </c>
      <c r="M216">
        <f t="shared" si="58"/>
        <v>22381</v>
      </c>
      <c r="N216">
        <f t="shared" si="59"/>
        <v>23170</v>
      </c>
      <c r="O216">
        <f t="shared" si="60"/>
        <v>23170</v>
      </c>
      <c r="P216">
        <f t="shared" si="61"/>
        <v>14188</v>
      </c>
    </row>
    <row r="217" spans="1:16" x14ac:dyDescent="0.25">
      <c r="A217">
        <f t="shared" si="62"/>
        <v>211</v>
      </c>
      <c r="B217">
        <f t="shared" si="63"/>
        <v>5.275000000000004E-2</v>
      </c>
      <c r="C217">
        <f t="shared" si="48"/>
        <v>-0.76040596560003826</v>
      </c>
      <c r="D217">
        <f t="shared" si="49"/>
        <v>-0.9832549075639565</v>
      </c>
      <c r="E217">
        <f t="shared" si="50"/>
        <v>-0.76040596560003826</v>
      </c>
      <c r="F217">
        <f t="shared" si="51"/>
        <v>-0.9832549075639565</v>
      </c>
      <c r="G217">
        <f t="shared" si="52"/>
        <v>0.74767289741714671</v>
      </c>
      <c r="H217">
        <f t="shared" si="53"/>
        <v>-24917</v>
      </c>
      <c r="I217">
        <f t="shared" si="54"/>
        <v>-24917</v>
      </c>
      <c r="J217">
        <f t="shared" si="55"/>
        <v>-32220</v>
      </c>
      <c r="K217">
        <f t="shared" si="56"/>
        <v>620856889</v>
      </c>
      <c r="L217">
        <f t="shared" si="57"/>
        <v>1038128400</v>
      </c>
      <c r="M217">
        <f t="shared" si="58"/>
        <v>24500</v>
      </c>
      <c r="N217">
        <f t="shared" si="59"/>
        <v>23170</v>
      </c>
      <c r="O217">
        <f t="shared" si="60"/>
        <v>23170</v>
      </c>
      <c r="P217">
        <f t="shared" si="61"/>
        <v>14188</v>
      </c>
    </row>
    <row r="218" spans="1:16" x14ac:dyDescent="0.25">
      <c r="A218">
        <f t="shared" si="62"/>
        <v>212</v>
      </c>
      <c r="B218">
        <f t="shared" si="63"/>
        <v>5.300000000000004E-2</v>
      </c>
      <c r="C218">
        <f t="shared" si="48"/>
        <v>-0.80901699437495433</v>
      </c>
      <c r="D218">
        <f t="shared" si="49"/>
        <v>-0.99452189536827451</v>
      </c>
      <c r="E218">
        <f t="shared" si="50"/>
        <v>-0.80901699437495433</v>
      </c>
      <c r="F218">
        <f t="shared" si="51"/>
        <v>-0.99452189536827451</v>
      </c>
      <c r="G218">
        <f t="shared" si="52"/>
        <v>0.8045851146309243</v>
      </c>
      <c r="H218">
        <f t="shared" si="53"/>
        <v>-26510</v>
      </c>
      <c r="I218">
        <f t="shared" si="54"/>
        <v>-26510</v>
      </c>
      <c r="J218">
        <f t="shared" si="55"/>
        <v>-32589</v>
      </c>
      <c r="K218">
        <f t="shared" si="56"/>
        <v>702780100</v>
      </c>
      <c r="L218">
        <f t="shared" si="57"/>
        <v>1062042921</v>
      </c>
      <c r="M218">
        <f t="shared" si="58"/>
        <v>26365</v>
      </c>
      <c r="N218">
        <f t="shared" si="59"/>
        <v>23170</v>
      </c>
      <c r="O218">
        <f t="shared" si="60"/>
        <v>23170</v>
      </c>
      <c r="P218">
        <f t="shared" si="61"/>
        <v>14188</v>
      </c>
    </row>
    <row r="219" spans="1:16" x14ac:dyDescent="0.25">
      <c r="A219">
        <f t="shared" si="62"/>
        <v>213</v>
      </c>
      <c r="B219">
        <f t="shared" si="63"/>
        <v>5.325000000000004E-2</v>
      </c>
      <c r="C219">
        <f t="shared" si="48"/>
        <v>-0.85264016435409862</v>
      </c>
      <c r="D219">
        <f t="shared" si="49"/>
        <v>-0.99965732497555759</v>
      </c>
      <c r="E219">
        <f t="shared" si="50"/>
        <v>-0.85264016435409862</v>
      </c>
      <c r="F219">
        <f t="shared" si="51"/>
        <v>-0.99965732497555759</v>
      </c>
      <c r="G219">
        <f t="shared" si="52"/>
        <v>0.85234798586493798</v>
      </c>
      <c r="H219">
        <f t="shared" si="53"/>
        <v>-27939</v>
      </c>
      <c r="I219">
        <f t="shared" si="54"/>
        <v>-27940</v>
      </c>
      <c r="J219">
        <f t="shared" si="55"/>
        <v>-32757</v>
      </c>
      <c r="K219">
        <f t="shared" si="56"/>
        <v>780643600</v>
      </c>
      <c r="L219">
        <f t="shared" si="57"/>
        <v>1073021049</v>
      </c>
      <c r="M219">
        <f t="shared" si="58"/>
        <v>27930</v>
      </c>
      <c r="N219">
        <f t="shared" si="59"/>
        <v>23170</v>
      </c>
      <c r="O219">
        <f t="shared" si="60"/>
        <v>23170</v>
      </c>
      <c r="P219">
        <f t="shared" si="61"/>
        <v>14188</v>
      </c>
    </row>
    <row r="220" spans="1:16" x14ac:dyDescent="0.25">
      <c r="A220">
        <f t="shared" si="62"/>
        <v>214</v>
      </c>
      <c r="B220">
        <f t="shared" si="63"/>
        <v>5.3500000000000041E-2</v>
      </c>
      <c r="C220">
        <f t="shared" si="48"/>
        <v>-0.89100652418837356</v>
      </c>
      <c r="D220">
        <f t="shared" si="49"/>
        <v>-0.99862953475457328</v>
      </c>
      <c r="E220">
        <f t="shared" si="50"/>
        <v>-0.89100652418837356</v>
      </c>
      <c r="F220">
        <f t="shared" si="51"/>
        <v>-0.99862953475457328</v>
      </c>
      <c r="G220">
        <f t="shared" si="52"/>
        <v>0.88978543071352489</v>
      </c>
      <c r="H220">
        <f t="shared" si="53"/>
        <v>-29197</v>
      </c>
      <c r="I220">
        <f t="shared" si="54"/>
        <v>-29197</v>
      </c>
      <c r="J220">
        <f t="shared" si="55"/>
        <v>-32724</v>
      </c>
      <c r="K220">
        <f t="shared" si="56"/>
        <v>852464809</v>
      </c>
      <c r="L220">
        <f t="shared" si="57"/>
        <v>1070860176</v>
      </c>
      <c r="M220">
        <f t="shared" si="58"/>
        <v>29157</v>
      </c>
      <c r="N220">
        <f t="shared" si="59"/>
        <v>23170</v>
      </c>
      <c r="O220">
        <f t="shared" si="60"/>
        <v>23170</v>
      </c>
      <c r="P220">
        <f t="shared" si="61"/>
        <v>14188</v>
      </c>
    </row>
    <row r="221" spans="1:16" x14ac:dyDescent="0.25">
      <c r="A221">
        <f t="shared" si="62"/>
        <v>215</v>
      </c>
      <c r="B221">
        <f t="shared" si="63"/>
        <v>5.3750000000000041E-2</v>
      </c>
      <c r="C221">
        <f t="shared" si="48"/>
        <v>-0.92387953251129173</v>
      </c>
      <c r="D221">
        <f t="shared" si="49"/>
        <v>-0.99144486137380883</v>
      </c>
      <c r="E221">
        <f t="shared" si="50"/>
        <v>-0.92387953251129173</v>
      </c>
      <c r="F221">
        <f t="shared" si="51"/>
        <v>-0.99144486137380883</v>
      </c>
      <c r="G221">
        <f t="shared" si="52"/>
        <v>0.91597561503675695</v>
      </c>
      <c r="H221">
        <f t="shared" si="53"/>
        <v>-30274</v>
      </c>
      <c r="I221">
        <f t="shared" si="54"/>
        <v>-30274</v>
      </c>
      <c r="J221">
        <f t="shared" si="55"/>
        <v>-32488</v>
      </c>
      <c r="K221">
        <f t="shared" si="56"/>
        <v>916515076</v>
      </c>
      <c r="L221">
        <f t="shared" si="57"/>
        <v>1055470144</v>
      </c>
      <c r="M221">
        <f t="shared" si="58"/>
        <v>30015</v>
      </c>
      <c r="N221">
        <f t="shared" si="59"/>
        <v>23170</v>
      </c>
      <c r="O221">
        <f t="shared" si="60"/>
        <v>23170</v>
      </c>
      <c r="P221">
        <f t="shared" si="61"/>
        <v>14188</v>
      </c>
    </row>
    <row r="222" spans="1:16" x14ac:dyDescent="0.25">
      <c r="A222">
        <f t="shared" si="62"/>
        <v>216</v>
      </c>
      <c r="B222">
        <f t="shared" si="63"/>
        <v>5.4000000000000041E-2</v>
      </c>
      <c r="C222">
        <f t="shared" si="48"/>
        <v>-0.95105651629515775</v>
      </c>
      <c r="D222">
        <f t="shared" si="49"/>
        <v>-0.97814760073380291</v>
      </c>
      <c r="E222">
        <f t="shared" si="50"/>
        <v>-0.95105651629515775</v>
      </c>
      <c r="F222">
        <f t="shared" si="51"/>
        <v>-0.97814760073380291</v>
      </c>
      <c r="G222">
        <f t="shared" si="52"/>
        <v>0.9302736495763575</v>
      </c>
      <c r="H222">
        <f t="shared" si="53"/>
        <v>-31164</v>
      </c>
      <c r="I222">
        <f t="shared" si="54"/>
        <v>-31165</v>
      </c>
      <c r="J222">
        <f t="shared" si="55"/>
        <v>-32052</v>
      </c>
      <c r="K222">
        <f t="shared" si="56"/>
        <v>971257225</v>
      </c>
      <c r="L222">
        <f t="shared" si="57"/>
        <v>1027330704</v>
      </c>
      <c r="M222">
        <f t="shared" si="58"/>
        <v>30484</v>
      </c>
      <c r="N222">
        <f t="shared" si="59"/>
        <v>23170</v>
      </c>
      <c r="O222">
        <f t="shared" si="60"/>
        <v>23170</v>
      </c>
      <c r="P222">
        <f t="shared" si="61"/>
        <v>14188</v>
      </c>
    </row>
    <row r="223" spans="1:16" x14ac:dyDescent="0.25">
      <c r="A223">
        <f t="shared" si="62"/>
        <v>217</v>
      </c>
      <c r="B223">
        <f t="shared" si="63"/>
        <v>5.4250000000000041E-2</v>
      </c>
      <c r="C223">
        <f t="shared" si="48"/>
        <v>-0.97236992039767989</v>
      </c>
      <c r="D223">
        <f t="shared" si="49"/>
        <v>-0.95881973486818928</v>
      </c>
      <c r="E223">
        <f t="shared" si="50"/>
        <v>-0.97236992039767989</v>
      </c>
      <c r="F223">
        <f t="shared" si="51"/>
        <v>-0.95881973486818928</v>
      </c>
      <c r="G223">
        <f t="shared" si="52"/>
        <v>0.93232746926950572</v>
      </c>
      <c r="H223">
        <f t="shared" si="53"/>
        <v>-31863</v>
      </c>
      <c r="I223">
        <f t="shared" si="54"/>
        <v>-31863</v>
      </c>
      <c r="J223">
        <f t="shared" si="55"/>
        <v>-31419</v>
      </c>
      <c r="K223">
        <f t="shared" si="56"/>
        <v>1015250769</v>
      </c>
      <c r="L223">
        <f t="shared" si="57"/>
        <v>987153561</v>
      </c>
      <c r="M223">
        <f t="shared" si="58"/>
        <v>30551</v>
      </c>
      <c r="N223">
        <f t="shared" si="59"/>
        <v>23170</v>
      </c>
      <c r="O223">
        <f t="shared" si="60"/>
        <v>23170</v>
      </c>
      <c r="P223">
        <f t="shared" si="61"/>
        <v>14188</v>
      </c>
    </row>
    <row r="224" spans="1:16" x14ac:dyDescent="0.25">
      <c r="A224">
        <f t="shared" si="62"/>
        <v>218</v>
      </c>
      <c r="B224">
        <f t="shared" si="63"/>
        <v>5.4500000000000041E-2</v>
      </c>
      <c r="C224">
        <f t="shared" si="48"/>
        <v>-0.98768834059513999</v>
      </c>
      <c r="D224">
        <f t="shared" si="49"/>
        <v>-0.93358042649719675</v>
      </c>
      <c r="E224">
        <f t="shared" si="50"/>
        <v>-0.98768834059513999</v>
      </c>
      <c r="F224">
        <f t="shared" si="51"/>
        <v>-0.93358042649719675</v>
      </c>
      <c r="G224">
        <f t="shared" si="52"/>
        <v>0.92208650225911937</v>
      </c>
      <c r="H224">
        <f t="shared" si="53"/>
        <v>-32365</v>
      </c>
      <c r="I224">
        <f t="shared" si="54"/>
        <v>-32365</v>
      </c>
      <c r="J224">
        <f t="shared" si="55"/>
        <v>-30592</v>
      </c>
      <c r="K224">
        <f t="shared" si="56"/>
        <v>1047493225</v>
      </c>
      <c r="L224">
        <f t="shared" si="57"/>
        <v>935870464</v>
      </c>
      <c r="M224">
        <f t="shared" si="58"/>
        <v>30215</v>
      </c>
      <c r="N224">
        <f t="shared" si="59"/>
        <v>23170</v>
      </c>
      <c r="O224">
        <f t="shared" si="60"/>
        <v>23170</v>
      </c>
      <c r="P224">
        <f t="shared" si="61"/>
        <v>14188</v>
      </c>
    </row>
    <row r="225" spans="1:16" x14ac:dyDescent="0.25">
      <c r="A225">
        <f t="shared" si="62"/>
        <v>219</v>
      </c>
      <c r="B225">
        <f t="shared" si="63"/>
        <v>5.4750000000000042E-2</v>
      </c>
      <c r="C225">
        <f t="shared" si="48"/>
        <v>-0.99691733373312919</v>
      </c>
      <c r="D225">
        <f t="shared" si="49"/>
        <v>-0.90258528434985452</v>
      </c>
      <c r="E225">
        <f t="shared" si="50"/>
        <v>-0.99691733373312919</v>
      </c>
      <c r="F225">
        <f t="shared" si="51"/>
        <v>-0.90258528434985452</v>
      </c>
      <c r="G225">
        <f t="shared" si="52"/>
        <v>0.89980291514081523</v>
      </c>
      <c r="H225">
        <f t="shared" si="53"/>
        <v>-32667</v>
      </c>
      <c r="I225">
        <f t="shared" si="54"/>
        <v>-32667</v>
      </c>
      <c r="J225">
        <f t="shared" si="55"/>
        <v>-29576</v>
      </c>
      <c r="K225">
        <f t="shared" si="56"/>
        <v>1067132889</v>
      </c>
      <c r="L225">
        <f t="shared" si="57"/>
        <v>874739776</v>
      </c>
      <c r="M225">
        <f t="shared" si="58"/>
        <v>29484</v>
      </c>
      <c r="N225">
        <f t="shared" si="59"/>
        <v>23170</v>
      </c>
      <c r="O225">
        <f t="shared" si="60"/>
        <v>23170</v>
      </c>
      <c r="P225">
        <f t="shared" si="61"/>
        <v>14188</v>
      </c>
    </row>
    <row r="226" spans="1:16" x14ac:dyDescent="0.25">
      <c r="A226">
        <f t="shared" si="62"/>
        <v>220</v>
      </c>
      <c r="B226">
        <f t="shared" si="63"/>
        <v>5.5000000000000042E-2</v>
      </c>
      <c r="C226">
        <f t="shared" si="48"/>
        <v>-1</v>
      </c>
      <c r="D226">
        <f t="shared" si="49"/>
        <v>-0.86602540378443305</v>
      </c>
      <c r="E226">
        <f t="shared" si="50"/>
        <v>-1</v>
      </c>
      <c r="F226">
        <f t="shared" si="51"/>
        <v>-0.86602540378443305</v>
      </c>
      <c r="G226">
        <f t="shared" si="52"/>
        <v>0.86602540378443305</v>
      </c>
      <c r="H226">
        <f t="shared" si="53"/>
        <v>-32768</v>
      </c>
      <c r="I226">
        <f t="shared" si="54"/>
        <v>-32768</v>
      </c>
      <c r="J226">
        <f t="shared" si="55"/>
        <v>-28378</v>
      </c>
      <c r="K226">
        <f t="shared" si="56"/>
        <v>1073741824</v>
      </c>
      <c r="L226">
        <f t="shared" si="57"/>
        <v>805310884</v>
      </c>
      <c r="M226">
        <f t="shared" si="58"/>
        <v>28378</v>
      </c>
      <c r="P226">
        <f t="shared" si="61"/>
        <v>14188</v>
      </c>
    </row>
    <row r="227" spans="1:16" x14ac:dyDescent="0.25">
      <c r="A227">
        <f t="shared" si="62"/>
        <v>221</v>
      </c>
      <c r="B227">
        <f t="shared" si="63"/>
        <v>5.5250000000000042E-2</v>
      </c>
      <c r="C227">
        <f t="shared" si="48"/>
        <v>-0.99691733373312696</v>
      </c>
      <c r="D227">
        <f t="shared" si="49"/>
        <v>-0.82412618862200915</v>
      </c>
      <c r="E227">
        <f t="shared" si="50"/>
        <v>-0.99691733373312696</v>
      </c>
      <c r="F227">
        <f t="shared" si="51"/>
        <v>-0.82412618862200915</v>
      </c>
      <c r="G227">
        <f t="shared" si="52"/>
        <v>0.82158568262069742</v>
      </c>
      <c r="H227">
        <f t="shared" si="53"/>
        <v>-32667</v>
      </c>
      <c r="I227">
        <f t="shared" si="54"/>
        <v>-32667</v>
      </c>
      <c r="J227">
        <f t="shared" si="55"/>
        <v>-27005</v>
      </c>
      <c r="K227">
        <f t="shared" si="56"/>
        <v>1067132889</v>
      </c>
      <c r="L227">
        <f t="shared" si="57"/>
        <v>729270025</v>
      </c>
      <c r="M227">
        <f t="shared" si="58"/>
        <v>26921</v>
      </c>
      <c r="P227">
        <f t="shared" si="61"/>
        <v>14188</v>
      </c>
    </row>
    <row r="228" spans="1:16" x14ac:dyDescent="0.25">
      <c r="A228">
        <f t="shared" si="62"/>
        <v>222</v>
      </c>
      <c r="B228">
        <f t="shared" si="63"/>
        <v>5.5500000000000042E-2</v>
      </c>
      <c r="C228">
        <f t="shared" si="48"/>
        <v>-0.98768834059513577</v>
      </c>
      <c r="D228">
        <f t="shared" si="49"/>
        <v>-0.77714596145696335</v>
      </c>
      <c r="E228">
        <f t="shared" si="50"/>
        <v>-0.98768834059513577</v>
      </c>
      <c r="F228">
        <f t="shared" si="51"/>
        <v>-0.77714596145696335</v>
      </c>
      <c r="G228">
        <f t="shared" si="52"/>
        <v>0.76757800507163942</v>
      </c>
      <c r="H228">
        <f t="shared" si="53"/>
        <v>-32365</v>
      </c>
      <c r="I228">
        <f t="shared" si="54"/>
        <v>-32365</v>
      </c>
      <c r="J228">
        <f t="shared" si="55"/>
        <v>-25466</v>
      </c>
      <c r="K228">
        <f t="shared" si="56"/>
        <v>1047493225</v>
      </c>
      <c r="L228">
        <f t="shared" si="57"/>
        <v>648517156</v>
      </c>
      <c r="M228">
        <f t="shared" si="58"/>
        <v>25152</v>
      </c>
      <c r="P228">
        <f t="shared" si="61"/>
        <v>14188</v>
      </c>
    </row>
    <row r="229" spans="1:16" x14ac:dyDescent="0.25">
      <c r="A229">
        <f t="shared" si="62"/>
        <v>223</v>
      </c>
      <c r="B229">
        <f t="shared" si="63"/>
        <v>5.5750000000000043E-2</v>
      </c>
      <c r="C229">
        <f t="shared" si="48"/>
        <v>-0.97236992039767356</v>
      </c>
      <c r="D229">
        <f t="shared" si="49"/>
        <v>-0.72537437101227908</v>
      </c>
      <c r="E229">
        <f t="shared" si="50"/>
        <v>-0.97236992039767356</v>
      </c>
      <c r="F229">
        <f t="shared" si="51"/>
        <v>-0.72537437101227908</v>
      </c>
      <c r="G229">
        <f t="shared" si="52"/>
        <v>0.70533221939972235</v>
      </c>
      <c r="H229">
        <f t="shared" si="53"/>
        <v>-31863</v>
      </c>
      <c r="I229">
        <f t="shared" si="54"/>
        <v>-31863</v>
      </c>
      <c r="J229">
        <f t="shared" si="55"/>
        <v>-23770</v>
      </c>
      <c r="K229">
        <f t="shared" si="56"/>
        <v>1015250769</v>
      </c>
      <c r="L229">
        <f t="shared" si="57"/>
        <v>565012900</v>
      </c>
      <c r="M229">
        <f t="shared" si="58"/>
        <v>23113</v>
      </c>
      <c r="P229">
        <f t="shared" si="61"/>
        <v>14188</v>
      </c>
    </row>
    <row r="230" spans="1:16" x14ac:dyDescent="0.25">
      <c r="A230">
        <f t="shared" si="62"/>
        <v>224</v>
      </c>
      <c r="B230">
        <f t="shared" si="63"/>
        <v>5.6000000000000043E-2</v>
      </c>
      <c r="C230">
        <f t="shared" si="48"/>
        <v>-0.95105651629514942</v>
      </c>
      <c r="D230">
        <f t="shared" si="49"/>
        <v>-0.66913060635884858</v>
      </c>
      <c r="E230">
        <f t="shared" si="50"/>
        <v>-0.95105651629514942</v>
      </c>
      <c r="F230">
        <f t="shared" si="51"/>
        <v>-0.66913060635884858</v>
      </c>
      <c r="G230">
        <f t="shared" si="52"/>
        <v>0.6363810234301075</v>
      </c>
      <c r="H230">
        <f t="shared" si="53"/>
        <v>-31164</v>
      </c>
      <c r="I230">
        <f t="shared" si="54"/>
        <v>-31165</v>
      </c>
      <c r="J230">
        <f t="shared" si="55"/>
        <v>-21927</v>
      </c>
      <c r="K230">
        <f t="shared" si="56"/>
        <v>971257225</v>
      </c>
      <c r="L230">
        <f t="shared" si="57"/>
        <v>480793329</v>
      </c>
      <c r="M230">
        <f t="shared" si="58"/>
        <v>20854</v>
      </c>
      <c r="P230">
        <f t="shared" si="61"/>
        <v>14188</v>
      </c>
    </row>
    <row r="231" spans="1:16" x14ac:dyDescent="0.25">
      <c r="A231">
        <f t="shared" si="62"/>
        <v>225</v>
      </c>
      <c r="B231">
        <f t="shared" si="63"/>
        <v>5.6250000000000043E-2</v>
      </c>
      <c r="C231">
        <f t="shared" si="48"/>
        <v>-0.92387953251128141</v>
      </c>
      <c r="D231">
        <f t="shared" si="49"/>
        <v>-0.60876142900871</v>
      </c>
      <c r="E231">
        <f t="shared" si="50"/>
        <v>-0.92387953251128141</v>
      </c>
      <c r="F231">
        <f t="shared" si="51"/>
        <v>-0.60876142900871</v>
      </c>
      <c r="G231">
        <f t="shared" si="52"/>
        <v>0.56242222444346657</v>
      </c>
      <c r="H231">
        <f t="shared" si="53"/>
        <v>-30274</v>
      </c>
      <c r="I231">
        <f t="shared" si="54"/>
        <v>-30274</v>
      </c>
      <c r="J231">
        <f t="shared" si="55"/>
        <v>-19948</v>
      </c>
      <c r="K231">
        <f t="shared" si="56"/>
        <v>916515076</v>
      </c>
      <c r="L231">
        <f t="shared" si="57"/>
        <v>397922704</v>
      </c>
      <c r="M231">
        <f t="shared" si="58"/>
        <v>18429</v>
      </c>
      <c r="P231">
        <f t="shared" si="61"/>
        <v>14188</v>
      </c>
    </row>
    <row r="232" spans="1:16" x14ac:dyDescent="0.25">
      <c r="A232">
        <f t="shared" si="62"/>
        <v>226</v>
      </c>
      <c r="B232">
        <f t="shared" si="63"/>
        <v>5.6500000000000043E-2</v>
      </c>
      <c r="C232">
        <f t="shared" si="48"/>
        <v>-0.89100652418836135</v>
      </c>
      <c r="D232">
        <f t="shared" si="49"/>
        <v>-0.54463903501501554</v>
      </c>
      <c r="E232">
        <f t="shared" si="50"/>
        <v>-0.89100652418836135</v>
      </c>
      <c r="F232">
        <f t="shared" si="51"/>
        <v>-0.54463903501501554</v>
      </c>
      <c r="G232">
        <f t="shared" si="52"/>
        <v>0.48527693352603224</v>
      </c>
      <c r="H232">
        <f t="shared" si="53"/>
        <v>-29197</v>
      </c>
      <c r="I232">
        <f t="shared" si="54"/>
        <v>-29197</v>
      </c>
      <c r="J232">
        <f t="shared" si="55"/>
        <v>-17847</v>
      </c>
      <c r="K232">
        <f t="shared" si="56"/>
        <v>852464809</v>
      </c>
      <c r="L232">
        <f t="shared" si="57"/>
        <v>318515409</v>
      </c>
      <c r="M232">
        <f t="shared" si="58"/>
        <v>15902</v>
      </c>
      <c r="P232">
        <f t="shared" si="61"/>
        <v>14188</v>
      </c>
    </row>
    <row r="233" spans="1:16" x14ac:dyDescent="0.25">
      <c r="A233">
        <f t="shared" si="62"/>
        <v>227</v>
      </c>
      <c r="B233">
        <f t="shared" si="63"/>
        <v>5.6750000000000043E-2</v>
      </c>
      <c r="C233">
        <f t="shared" si="48"/>
        <v>-0.85264016435408452</v>
      </c>
      <c r="D233">
        <f t="shared" si="49"/>
        <v>-0.47715876025959592</v>
      </c>
      <c r="E233">
        <f t="shared" si="50"/>
        <v>-0.85264016435408452</v>
      </c>
      <c r="F233">
        <f t="shared" si="51"/>
        <v>-0.47715876025959592</v>
      </c>
      <c r="G233">
        <f t="shared" si="52"/>
        <v>0.40684472377073305</v>
      </c>
      <c r="H233">
        <f t="shared" si="53"/>
        <v>-27939</v>
      </c>
      <c r="I233">
        <f t="shared" si="54"/>
        <v>-27940</v>
      </c>
      <c r="J233">
        <f t="shared" si="55"/>
        <v>-15636</v>
      </c>
      <c r="K233">
        <f t="shared" si="56"/>
        <v>780643600</v>
      </c>
      <c r="L233">
        <f t="shared" si="57"/>
        <v>244484496</v>
      </c>
      <c r="M233">
        <f t="shared" si="58"/>
        <v>13332</v>
      </c>
      <c r="P233">
        <f t="shared" si="61"/>
        <v>14188</v>
      </c>
    </row>
    <row r="234" spans="1:16" x14ac:dyDescent="0.25">
      <c r="A234">
        <f t="shared" si="62"/>
        <v>228</v>
      </c>
      <c r="B234">
        <f t="shared" si="63"/>
        <v>5.7000000000000044E-2</v>
      </c>
      <c r="C234">
        <f t="shared" si="48"/>
        <v>-0.80901699437493846</v>
      </c>
      <c r="D234">
        <f t="shared" si="49"/>
        <v>-0.40673664307578677</v>
      </c>
      <c r="E234">
        <f t="shared" si="50"/>
        <v>-0.80901699437493846</v>
      </c>
      <c r="F234">
        <f t="shared" si="51"/>
        <v>-0.40673664307578677</v>
      </c>
      <c r="G234">
        <f t="shared" si="52"/>
        <v>0.32905685648332517</v>
      </c>
      <c r="H234">
        <f t="shared" si="53"/>
        <v>-26510</v>
      </c>
      <c r="I234">
        <f t="shared" si="54"/>
        <v>-26510</v>
      </c>
      <c r="J234">
        <f t="shared" si="55"/>
        <v>-13328</v>
      </c>
      <c r="K234">
        <f t="shared" si="56"/>
        <v>702780100</v>
      </c>
      <c r="L234">
        <f t="shared" si="57"/>
        <v>177635584</v>
      </c>
      <c r="M234">
        <f t="shared" si="58"/>
        <v>10782</v>
      </c>
      <c r="P234">
        <f t="shared" si="61"/>
        <v>14188</v>
      </c>
    </row>
    <row r="235" spans="1:16" x14ac:dyDescent="0.25">
      <c r="A235">
        <f t="shared" si="62"/>
        <v>229</v>
      </c>
      <c r="B235">
        <f t="shared" si="63"/>
        <v>5.7250000000000044E-2</v>
      </c>
      <c r="C235">
        <f t="shared" si="48"/>
        <v>-0.76040596560002305</v>
      </c>
      <c r="D235">
        <f t="shared" si="49"/>
        <v>-0.33380685923376002</v>
      </c>
      <c r="E235">
        <f t="shared" si="50"/>
        <v>-0.76040596560002305</v>
      </c>
      <c r="F235">
        <f t="shared" si="51"/>
        <v>-0.33380685923376002</v>
      </c>
      <c r="G235">
        <f t="shared" si="52"/>
        <v>0.25382872711955828</v>
      </c>
      <c r="H235">
        <f t="shared" si="53"/>
        <v>-24917</v>
      </c>
      <c r="I235">
        <f t="shared" si="54"/>
        <v>-24917</v>
      </c>
      <c r="J235">
        <f t="shared" si="55"/>
        <v>-10939</v>
      </c>
      <c r="K235">
        <f t="shared" si="56"/>
        <v>620856889</v>
      </c>
      <c r="L235">
        <f t="shared" si="57"/>
        <v>119661721</v>
      </c>
      <c r="M235">
        <f t="shared" si="58"/>
        <v>8318</v>
      </c>
      <c r="P235">
        <f t="shared" si="61"/>
        <v>14188</v>
      </c>
    </row>
    <row r="236" spans="1:16" x14ac:dyDescent="0.25">
      <c r="A236">
        <f t="shared" si="62"/>
        <v>230</v>
      </c>
      <c r="B236">
        <f t="shared" si="63"/>
        <v>5.7500000000000044E-2</v>
      </c>
      <c r="C236">
        <f t="shared" si="48"/>
        <v>-0.70710678118653858</v>
      </c>
      <c r="D236">
        <f t="shared" si="49"/>
        <v>-0.25881904510250919</v>
      </c>
      <c r="E236">
        <f t="shared" si="50"/>
        <v>-0.70710678118653858</v>
      </c>
      <c r="F236">
        <f t="shared" si="51"/>
        <v>-0.25881904510250919</v>
      </c>
      <c r="G236">
        <f t="shared" si="52"/>
        <v>0.18301270189220883</v>
      </c>
      <c r="H236">
        <f t="shared" si="53"/>
        <v>-23170</v>
      </c>
      <c r="I236">
        <f t="shared" si="54"/>
        <v>-23171</v>
      </c>
      <c r="J236">
        <f t="shared" si="55"/>
        <v>-8481</v>
      </c>
      <c r="K236">
        <f t="shared" si="56"/>
        <v>536895241</v>
      </c>
      <c r="L236">
        <f t="shared" si="57"/>
        <v>71927361</v>
      </c>
      <c r="M236">
        <f t="shared" si="58"/>
        <v>5997</v>
      </c>
      <c r="P236">
        <f t="shared" si="61"/>
        <v>14188</v>
      </c>
    </row>
    <row r="237" spans="1:16" x14ac:dyDescent="0.25">
      <c r="A237">
        <f t="shared" si="62"/>
        <v>231</v>
      </c>
      <c r="B237">
        <f t="shared" si="63"/>
        <v>5.7750000000000044E-2</v>
      </c>
      <c r="C237">
        <f t="shared" si="48"/>
        <v>-0.64944804833017378</v>
      </c>
      <c r="D237">
        <f t="shared" si="49"/>
        <v>-0.18223552549213523</v>
      </c>
      <c r="E237">
        <f t="shared" si="50"/>
        <v>-0.64944804833017378</v>
      </c>
      <c r="F237">
        <f t="shared" si="51"/>
        <v>-0.18223552549213523</v>
      </c>
      <c r="G237">
        <f t="shared" si="52"/>
        <v>0.11835250636729086</v>
      </c>
      <c r="H237">
        <f t="shared" si="53"/>
        <v>-21281</v>
      </c>
      <c r="I237">
        <f t="shared" si="54"/>
        <v>-21282</v>
      </c>
      <c r="J237">
        <f t="shared" si="55"/>
        <v>-5972</v>
      </c>
      <c r="K237">
        <f t="shared" si="56"/>
        <v>452923524</v>
      </c>
      <c r="L237">
        <f t="shared" si="57"/>
        <v>35664784</v>
      </c>
      <c r="M237">
        <f t="shared" si="58"/>
        <v>3878</v>
      </c>
      <c r="P237">
        <f t="shared" si="61"/>
        <v>14188</v>
      </c>
    </row>
    <row r="238" spans="1:16" x14ac:dyDescent="0.25">
      <c r="A238">
        <f t="shared" si="62"/>
        <v>232</v>
      </c>
      <c r="B238">
        <f t="shared" si="63"/>
        <v>5.8000000000000045E-2</v>
      </c>
      <c r="C238">
        <f t="shared" si="48"/>
        <v>-0.58778525229246226</v>
      </c>
      <c r="D238">
        <f t="shared" si="49"/>
        <v>-0.10452846326764065</v>
      </c>
      <c r="E238">
        <f t="shared" si="50"/>
        <v>-0.58778525229246226</v>
      </c>
      <c r="F238">
        <f t="shared" si="51"/>
        <v>-0.10452846326764065</v>
      </c>
      <c r="G238">
        <f t="shared" si="52"/>
        <v>6.144028915351353E-2</v>
      </c>
      <c r="H238">
        <f t="shared" si="53"/>
        <v>-19261</v>
      </c>
      <c r="I238">
        <f t="shared" si="54"/>
        <v>-19261</v>
      </c>
      <c r="J238">
        <f t="shared" si="55"/>
        <v>-3426</v>
      </c>
      <c r="K238">
        <f t="shared" si="56"/>
        <v>370986121</v>
      </c>
      <c r="L238">
        <f t="shared" si="57"/>
        <v>11737476</v>
      </c>
      <c r="M238">
        <f t="shared" si="58"/>
        <v>2013</v>
      </c>
      <c r="P238">
        <f t="shared" si="61"/>
        <v>14188</v>
      </c>
    </row>
    <row r="239" spans="1:16" x14ac:dyDescent="0.25">
      <c r="A239">
        <f t="shared" si="62"/>
        <v>233</v>
      </c>
      <c r="B239">
        <f t="shared" si="63"/>
        <v>5.8250000000000045E-2</v>
      </c>
      <c r="C239">
        <f t="shared" si="48"/>
        <v>-0.52249856471593703</v>
      </c>
      <c r="D239">
        <f t="shared" si="49"/>
        <v>-2.617694830785983E-2</v>
      </c>
      <c r="E239">
        <f t="shared" si="50"/>
        <v>-0.52249856471593703</v>
      </c>
      <c r="F239">
        <f t="shared" si="51"/>
        <v>-2.617694830785983E-2</v>
      </c>
      <c r="G239">
        <f t="shared" si="52"/>
        <v>1.3677417919500038E-2</v>
      </c>
      <c r="H239">
        <f t="shared" si="53"/>
        <v>-17121</v>
      </c>
      <c r="I239">
        <f t="shared" si="54"/>
        <v>-17122</v>
      </c>
      <c r="J239">
        <f t="shared" si="55"/>
        <v>-858</v>
      </c>
      <c r="K239">
        <f t="shared" si="56"/>
        <v>293162884</v>
      </c>
      <c r="L239">
        <f t="shared" si="57"/>
        <v>736164</v>
      </c>
      <c r="M239">
        <f t="shared" si="58"/>
        <v>448</v>
      </c>
      <c r="P239">
        <f t="shared" si="61"/>
        <v>14188</v>
      </c>
    </row>
    <row r="240" spans="1:16" x14ac:dyDescent="0.25">
      <c r="A240">
        <f t="shared" si="62"/>
        <v>234</v>
      </c>
      <c r="B240">
        <f t="shared" si="63"/>
        <v>5.8500000000000045E-2</v>
      </c>
      <c r="C240">
        <f t="shared" si="48"/>
        <v>-0.45399049973953398</v>
      </c>
      <c r="D240">
        <f t="shared" si="49"/>
        <v>5.2335956242957581E-2</v>
      </c>
      <c r="E240">
        <f t="shared" si="50"/>
        <v>-0.45399049973953398</v>
      </c>
      <c r="F240">
        <f t="shared" si="51"/>
        <v>5.2335956242957581E-2</v>
      </c>
      <c r="G240">
        <f t="shared" si="52"/>
        <v>-2.3760026929086697E-2</v>
      </c>
      <c r="H240">
        <f t="shared" si="53"/>
        <v>-14876</v>
      </c>
      <c r="I240">
        <f t="shared" si="54"/>
        <v>-14877</v>
      </c>
      <c r="J240">
        <f t="shared" si="55"/>
        <v>1714</v>
      </c>
      <c r="K240">
        <f t="shared" si="56"/>
        <v>221325129</v>
      </c>
      <c r="L240">
        <f t="shared" si="57"/>
        <v>2937796</v>
      </c>
      <c r="M240">
        <f t="shared" si="58"/>
        <v>-779</v>
      </c>
      <c r="P240">
        <f t="shared" si="61"/>
        <v>14188</v>
      </c>
    </row>
    <row r="241" spans="1:16" x14ac:dyDescent="0.25">
      <c r="A241">
        <f t="shared" si="62"/>
        <v>235</v>
      </c>
      <c r="B241">
        <f t="shared" si="63"/>
        <v>5.8750000000000045E-2</v>
      </c>
      <c r="C241">
        <f t="shared" si="48"/>
        <v>-0.38268343236507607</v>
      </c>
      <c r="D241">
        <f t="shared" si="49"/>
        <v>0.13052619222006567</v>
      </c>
      <c r="E241">
        <f t="shared" si="50"/>
        <v>-0.38268343236507607</v>
      </c>
      <c r="F241">
        <f t="shared" si="51"/>
        <v>0.13052619222006567</v>
      </c>
      <c r="G241">
        <f t="shared" si="52"/>
        <v>-4.9950211252318417E-2</v>
      </c>
      <c r="H241">
        <f t="shared" si="53"/>
        <v>-12540</v>
      </c>
      <c r="I241">
        <f t="shared" si="54"/>
        <v>-12540</v>
      </c>
      <c r="J241">
        <f t="shared" si="55"/>
        <v>4276</v>
      </c>
      <c r="K241">
        <f t="shared" si="56"/>
        <v>157251600</v>
      </c>
      <c r="L241">
        <f t="shared" si="57"/>
        <v>18284176</v>
      </c>
      <c r="M241">
        <f t="shared" si="58"/>
        <v>-1637</v>
      </c>
      <c r="P241">
        <f t="shared" si="61"/>
        <v>14188</v>
      </c>
    </row>
    <row r="242" spans="1:16" x14ac:dyDescent="0.25">
      <c r="A242">
        <f t="shared" si="62"/>
        <v>236</v>
      </c>
      <c r="B242">
        <f t="shared" si="63"/>
        <v>5.9000000000000045E-2</v>
      </c>
      <c r="C242">
        <f t="shared" si="48"/>
        <v>-0.30901699437493291</v>
      </c>
      <c r="D242">
        <f t="shared" si="49"/>
        <v>0.20791169081777366</v>
      </c>
      <c r="E242">
        <f t="shared" si="50"/>
        <v>-0.30901699437493291</v>
      </c>
      <c r="F242">
        <f t="shared" si="51"/>
        <v>0.20791169081777366</v>
      </c>
      <c r="G242">
        <f t="shared" si="52"/>
        <v>-6.4248245791918748E-2</v>
      </c>
      <c r="H242">
        <f t="shared" si="53"/>
        <v>-10126</v>
      </c>
      <c r="I242">
        <f t="shared" si="54"/>
        <v>-10126</v>
      </c>
      <c r="J242">
        <f t="shared" si="55"/>
        <v>6812</v>
      </c>
      <c r="K242">
        <f t="shared" si="56"/>
        <v>102535876</v>
      </c>
      <c r="L242">
        <f t="shared" si="57"/>
        <v>46403344</v>
      </c>
      <c r="M242">
        <f t="shared" si="58"/>
        <v>-2106</v>
      </c>
      <c r="P242">
        <f t="shared" si="61"/>
        <v>14188</v>
      </c>
    </row>
    <row r="243" spans="1:16" x14ac:dyDescent="0.25">
      <c r="A243">
        <f t="shared" si="62"/>
        <v>237</v>
      </c>
      <c r="B243">
        <f t="shared" si="63"/>
        <v>5.9250000000000046E-2</v>
      </c>
      <c r="C243">
        <f t="shared" si="48"/>
        <v>-0.23344536385589015</v>
      </c>
      <c r="D243">
        <f t="shared" si="49"/>
        <v>0.28401534470393708</v>
      </c>
      <c r="E243">
        <f t="shared" si="50"/>
        <v>-0.23344536385589015</v>
      </c>
      <c r="F243">
        <f t="shared" si="51"/>
        <v>0.28401534470393708</v>
      </c>
      <c r="G243">
        <f t="shared" si="52"/>
        <v>-6.6302065485066661E-2</v>
      </c>
      <c r="H243">
        <f t="shared" si="53"/>
        <v>-7650</v>
      </c>
      <c r="I243">
        <f t="shared" si="54"/>
        <v>-7650</v>
      </c>
      <c r="J243">
        <f t="shared" si="55"/>
        <v>9306</v>
      </c>
      <c r="K243">
        <f t="shared" si="56"/>
        <v>58522500</v>
      </c>
      <c r="L243">
        <f t="shared" si="57"/>
        <v>86601636</v>
      </c>
      <c r="M243">
        <f t="shared" si="58"/>
        <v>-2173</v>
      </c>
      <c r="P243">
        <f t="shared" si="61"/>
        <v>14188</v>
      </c>
    </row>
    <row r="244" spans="1:16" x14ac:dyDescent="0.25">
      <c r="A244">
        <f t="shared" si="62"/>
        <v>238</v>
      </c>
      <c r="B244">
        <f t="shared" si="63"/>
        <v>5.9500000000000046E-2</v>
      </c>
      <c r="C244">
        <f t="shared" si="48"/>
        <v>-0.15643446504021491</v>
      </c>
      <c r="D244">
        <f t="shared" si="49"/>
        <v>0.35836794954531476</v>
      </c>
      <c r="E244">
        <f t="shared" si="50"/>
        <v>-0.15643446504021491</v>
      </c>
      <c r="F244">
        <f t="shared" si="51"/>
        <v>0.35836794954531476</v>
      </c>
      <c r="G244">
        <f t="shared" si="52"/>
        <v>-5.6061098474680042E-2</v>
      </c>
      <c r="H244">
        <f t="shared" si="53"/>
        <v>-5126</v>
      </c>
      <c r="I244">
        <f t="shared" si="54"/>
        <v>-5127</v>
      </c>
      <c r="J244">
        <f t="shared" si="55"/>
        <v>11742</v>
      </c>
      <c r="K244">
        <f t="shared" si="56"/>
        <v>26286129</v>
      </c>
      <c r="L244">
        <f t="shared" si="57"/>
        <v>137874564</v>
      </c>
      <c r="M244">
        <f t="shared" si="58"/>
        <v>-1838</v>
      </c>
      <c r="P244">
        <f t="shared" si="61"/>
        <v>14188</v>
      </c>
    </row>
    <row r="245" spans="1:16" x14ac:dyDescent="0.25">
      <c r="A245">
        <f t="shared" si="62"/>
        <v>239</v>
      </c>
      <c r="B245">
        <f t="shared" si="63"/>
        <v>5.9750000000000046E-2</v>
      </c>
      <c r="C245">
        <f t="shared" si="48"/>
        <v>-7.8459095727831954E-2</v>
      </c>
      <c r="D245">
        <f t="shared" si="49"/>
        <v>0.43051109680830635</v>
      </c>
      <c r="E245">
        <f t="shared" si="50"/>
        <v>-7.8459095727831954E-2</v>
      </c>
      <c r="F245">
        <f t="shared" si="51"/>
        <v>0.43051109680830635</v>
      </c>
      <c r="G245">
        <f t="shared" si="52"/>
        <v>-3.3777511356376834E-2</v>
      </c>
      <c r="H245">
        <f t="shared" si="53"/>
        <v>-2571</v>
      </c>
      <c r="I245">
        <f t="shared" si="54"/>
        <v>-2571</v>
      </c>
      <c r="J245">
        <f t="shared" si="55"/>
        <v>14106</v>
      </c>
      <c r="K245">
        <f t="shared" si="56"/>
        <v>6610041</v>
      </c>
      <c r="L245">
        <f t="shared" si="57"/>
        <v>198979236</v>
      </c>
      <c r="M245">
        <f t="shared" si="58"/>
        <v>-1107</v>
      </c>
      <c r="P245">
        <f t="shared" si="61"/>
        <v>14188</v>
      </c>
    </row>
    <row r="246" spans="1:16" x14ac:dyDescent="0.25">
      <c r="A246">
        <f t="shared" si="62"/>
        <v>240</v>
      </c>
      <c r="B246">
        <f t="shared" si="63"/>
        <v>6.0000000000000046E-2</v>
      </c>
      <c r="C246">
        <f t="shared" si="48"/>
        <v>1.3475765642256832E-14</v>
      </c>
      <c r="D246">
        <f t="shared" si="49"/>
        <v>0.5000000000000111</v>
      </c>
      <c r="E246">
        <f t="shared" si="50"/>
        <v>1.3475765642256832E-14</v>
      </c>
      <c r="F246">
        <f t="shared" si="51"/>
        <v>0.5000000000000111</v>
      </c>
      <c r="G246">
        <f t="shared" si="52"/>
        <v>6.7378828211285657E-15</v>
      </c>
      <c r="H246">
        <f t="shared" si="53"/>
        <v>0</v>
      </c>
      <c r="I246">
        <f t="shared" si="54"/>
        <v>0</v>
      </c>
      <c r="J246">
        <f t="shared" si="55"/>
        <v>16383</v>
      </c>
      <c r="K246">
        <f t="shared" si="56"/>
        <v>0</v>
      </c>
      <c r="L246">
        <f t="shared" si="57"/>
        <v>268402689</v>
      </c>
      <c r="M246">
        <f t="shared" si="58"/>
        <v>0</v>
      </c>
      <c r="P246">
        <f t="shared" si="61"/>
        <v>14188</v>
      </c>
    </row>
    <row r="247" spans="1:16" x14ac:dyDescent="0.25">
      <c r="A247">
        <f t="shared" si="62"/>
        <v>241</v>
      </c>
      <c r="B247">
        <f t="shared" si="63"/>
        <v>6.0250000000000047E-2</v>
      </c>
      <c r="C247">
        <f t="shared" si="48"/>
        <v>7.8459095727858821E-2</v>
      </c>
      <c r="D247">
        <f t="shared" si="49"/>
        <v>0.56640623692484382</v>
      </c>
      <c r="E247">
        <f t="shared" si="50"/>
        <v>7.8459095727858821E-2</v>
      </c>
      <c r="F247">
        <f t="shared" si="51"/>
        <v>0.56640623692484382</v>
      </c>
      <c r="G247">
        <f t="shared" si="52"/>
        <v>4.4439721163742604E-2</v>
      </c>
      <c r="H247">
        <f t="shared" si="53"/>
        <v>2571</v>
      </c>
      <c r="I247">
        <f t="shared" si="54"/>
        <v>2570</v>
      </c>
      <c r="J247">
        <f t="shared" si="55"/>
        <v>18559</v>
      </c>
      <c r="K247">
        <f t="shared" si="56"/>
        <v>6604900</v>
      </c>
      <c r="L247">
        <f t="shared" si="57"/>
        <v>344436481</v>
      </c>
      <c r="M247">
        <f t="shared" si="58"/>
        <v>1455</v>
      </c>
      <c r="P247">
        <f t="shared" si="61"/>
        <v>14188</v>
      </c>
    </row>
    <row r="248" spans="1:16" x14ac:dyDescent="0.25">
      <c r="A248">
        <f t="shared" si="62"/>
        <v>242</v>
      </c>
      <c r="B248">
        <f t="shared" si="63"/>
        <v>6.0500000000000047E-2</v>
      </c>
      <c r="C248">
        <f t="shared" si="48"/>
        <v>0.15643446504024505</v>
      </c>
      <c r="D248">
        <f t="shared" si="49"/>
        <v>0.62932039104984816</v>
      </c>
      <c r="E248">
        <f t="shared" si="50"/>
        <v>0.15643446504024505</v>
      </c>
      <c r="F248">
        <f t="shared" si="51"/>
        <v>0.62932039104984816</v>
      </c>
      <c r="G248">
        <f t="shared" si="52"/>
        <v>9.8447398712800824E-2</v>
      </c>
      <c r="H248">
        <f t="shared" si="53"/>
        <v>5126</v>
      </c>
      <c r="I248">
        <f t="shared" si="54"/>
        <v>5125</v>
      </c>
      <c r="J248">
        <f t="shared" si="55"/>
        <v>20620</v>
      </c>
      <c r="K248">
        <f t="shared" si="56"/>
        <v>26265625</v>
      </c>
      <c r="L248">
        <f t="shared" si="57"/>
        <v>425184400</v>
      </c>
      <c r="M248">
        <f t="shared" si="58"/>
        <v>3225</v>
      </c>
      <c r="P248">
        <f t="shared" si="61"/>
        <v>14188</v>
      </c>
    </row>
    <row r="249" spans="1:16" x14ac:dyDescent="0.25">
      <c r="A249">
        <f t="shared" si="62"/>
        <v>243</v>
      </c>
      <c r="B249">
        <f t="shared" si="63"/>
        <v>6.0750000000000047E-2</v>
      </c>
      <c r="C249">
        <f t="shared" si="48"/>
        <v>0.2334453638559198</v>
      </c>
      <c r="D249">
        <f t="shared" si="49"/>
        <v>0.68835457569376424</v>
      </c>
      <c r="E249">
        <f t="shared" si="50"/>
        <v>0.2334453638559198</v>
      </c>
      <c r="F249">
        <f t="shared" si="51"/>
        <v>0.68835457569376424</v>
      </c>
      <c r="G249">
        <f t="shared" si="52"/>
        <v>0.16069318438471808</v>
      </c>
      <c r="H249">
        <f t="shared" si="53"/>
        <v>7649</v>
      </c>
      <c r="I249">
        <f t="shared" si="54"/>
        <v>7649</v>
      </c>
      <c r="J249">
        <f t="shared" si="55"/>
        <v>22555</v>
      </c>
      <c r="K249">
        <f t="shared" si="56"/>
        <v>58507201</v>
      </c>
      <c r="L249">
        <f t="shared" si="57"/>
        <v>508728025</v>
      </c>
      <c r="M249">
        <f t="shared" si="58"/>
        <v>5264</v>
      </c>
      <c r="P249">
        <f t="shared" si="61"/>
        <v>14188</v>
      </c>
    </row>
    <row r="250" spans="1:16" x14ac:dyDescent="0.25">
      <c r="A250">
        <f t="shared" si="62"/>
        <v>244</v>
      </c>
      <c r="B250">
        <f t="shared" si="63"/>
        <v>6.1000000000000047E-2</v>
      </c>
      <c r="C250">
        <f t="shared" si="48"/>
        <v>0.30901699437496194</v>
      </c>
      <c r="D250">
        <f t="shared" si="49"/>
        <v>0.74314482547740401</v>
      </c>
      <c r="E250">
        <f t="shared" si="50"/>
        <v>0.30901699437496194</v>
      </c>
      <c r="F250">
        <f t="shared" si="51"/>
        <v>0.74314482547740401</v>
      </c>
      <c r="G250">
        <f t="shared" si="52"/>
        <v>0.22964438035433302</v>
      </c>
      <c r="H250">
        <f t="shared" si="53"/>
        <v>10126</v>
      </c>
      <c r="I250">
        <f t="shared" si="54"/>
        <v>10125</v>
      </c>
      <c r="J250">
        <f t="shared" si="55"/>
        <v>24350</v>
      </c>
      <c r="K250">
        <f t="shared" si="56"/>
        <v>102515625</v>
      </c>
      <c r="L250">
        <f t="shared" si="57"/>
        <v>592922500</v>
      </c>
      <c r="M250">
        <f t="shared" si="58"/>
        <v>7523</v>
      </c>
      <c r="P250">
        <f t="shared" si="61"/>
        <v>14188</v>
      </c>
    </row>
    <row r="251" spans="1:16" x14ac:dyDescent="0.25">
      <c r="A251">
        <f t="shared" si="62"/>
        <v>245</v>
      </c>
      <c r="B251">
        <f t="shared" si="63"/>
        <v>6.1250000000000047E-2</v>
      </c>
      <c r="C251">
        <f t="shared" si="48"/>
        <v>0.38268343236510427</v>
      </c>
      <c r="D251">
        <f t="shared" si="49"/>
        <v>0.79335334029124438</v>
      </c>
      <c r="E251">
        <f t="shared" si="50"/>
        <v>0.38268343236510427</v>
      </c>
      <c r="F251">
        <f t="shared" si="51"/>
        <v>0.79335334029124438</v>
      </c>
      <c r="G251">
        <f t="shared" si="52"/>
        <v>0.30360317934097397</v>
      </c>
      <c r="H251">
        <f t="shared" si="53"/>
        <v>12539</v>
      </c>
      <c r="I251">
        <f t="shared" si="54"/>
        <v>12539</v>
      </c>
      <c r="J251">
        <f t="shared" si="55"/>
        <v>25995</v>
      </c>
      <c r="K251">
        <f t="shared" si="56"/>
        <v>157226521</v>
      </c>
      <c r="L251">
        <f t="shared" si="57"/>
        <v>675740025</v>
      </c>
      <c r="M251">
        <f t="shared" si="58"/>
        <v>9947</v>
      </c>
      <c r="P251">
        <f t="shared" si="61"/>
        <v>14188</v>
      </c>
    </row>
    <row r="252" spans="1:16" x14ac:dyDescent="0.25">
      <c r="A252">
        <f t="shared" si="62"/>
        <v>246</v>
      </c>
      <c r="B252">
        <f t="shared" si="63"/>
        <v>6.1500000000000048E-2</v>
      </c>
      <c r="C252">
        <f t="shared" si="48"/>
        <v>0.45399049973956118</v>
      </c>
      <c r="D252">
        <f t="shared" si="49"/>
        <v>0.83867056794543249</v>
      </c>
      <c r="E252">
        <f t="shared" si="50"/>
        <v>0.45399049973956118</v>
      </c>
      <c r="F252">
        <f t="shared" si="51"/>
        <v>0.83867056794543249</v>
      </c>
      <c r="G252">
        <f t="shared" si="52"/>
        <v>0.38074847025840852</v>
      </c>
      <c r="H252">
        <f t="shared" si="53"/>
        <v>14876</v>
      </c>
      <c r="I252">
        <f t="shared" si="54"/>
        <v>14875</v>
      </c>
      <c r="J252">
        <f t="shared" si="55"/>
        <v>27480</v>
      </c>
      <c r="K252">
        <f t="shared" si="56"/>
        <v>221265625</v>
      </c>
      <c r="L252">
        <f t="shared" si="57"/>
        <v>755150400</v>
      </c>
      <c r="M252">
        <f t="shared" si="58"/>
        <v>12474</v>
      </c>
      <c r="P252">
        <f t="shared" si="61"/>
        <v>14188</v>
      </c>
    </row>
    <row r="253" spans="1:16" x14ac:dyDescent="0.25">
      <c r="A253">
        <f t="shared" si="62"/>
        <v>247</v>
      </c>
      <c r="B253">
        <f t="shared" si="63"/>
        <v>6.1750000000000048E-2</v>
      </c>
      <c r="C253">
        <f t="shared" si="48"/>
        <v>0.52249856471596301</v>
      </c>
      <c r="D253">
        <f t="shared" si="49"/>
        <v>0.87881711266197293</v>
      </c>
      <c r="E253">
        <f t="shared" si="50"/>
        <v>0.52249856471596301</v>
      </c>
      <c r="F253">
        <f t="shared" si="51"/>
        <v>0.87881711266197293</v>
      </c>
      <c r="G253">
        <f t="shared" si="52"/>
        <v>0.4591806800137076</v>
      </c>
      <c r="H253">
        <f t="shared" si="53"/>
        <v>17121</v>
      </c>
      <c r="I253">
        <f t="shared" si="54"/>
        <v>17120</v>
      </c>
      <c r="J253">
        <f t="shared" si="55"/>
        <v>28796</v>
      </c>
      <c r="K253">
        <f t="shared" si="56"/>
        <v>293094400</v>
      </c>
      <c r="L253">
        <f t="shared" si="57"/>
        <v>829209616</v>
      </c>
      <c r="M253">
        <f t="shared" si="58"/>
        <v>15044</v>
      </c>
      <c r="P253">
        <f t="shared" si="61"/>
        <v>14188</v>
      </c>
    </row>
    <row r="254" spans="1:16" x14ac:dyDescent="0.25">
      <c r="A254">
        <f t="shared" si="62"/>
        <v>248</v>
      </c>
      <c r="B254">
        <f t="shared" si="63"/>
        <v>6.2000000000000048E-2</v>
      </c>
      <c r="C254">
        <f t="shared" si="48"/>
        <v>0.5877852522924869</v>
      </c>
      <c r="D254">
        <f t="shared" si="49"/>
        <v>0.91354545764260753</v>
      </c>
      <c r="E254">
        <f t="shared" si="50"/>
        <v>0.5877852522924869</v>
      </c>
      <c r="F254">
        <f t="shared" si="51"/>
        <v>0.91354545764260753</v>
      </c>
      <c r="G254">
        <f t="shared" si="52"/>
        <v>0.53696854730111543</v>
      </c>
      <c r="H254">
        <f t="shared" si="53"/>
        <v>19260</v>
      </c>
      <c r="I254">
        <f t="shared" si="54"/>
        <v>19259</v>
      </c>
      <c r="J254">
        <f t="shared" si="55"/>
        <v>29934</v>
      </c>
      <c r="K254">
        <f t="shared" si="56"/>
        <v>370909081</v>
      </c>
      <c r="L254">
        <f t="shared" si="57"/>
        <v>896044356</v>
      </c>
      <c r="M254">
        <f t="shared" si="58"/>
        <v>17593</v>
      </c>
      <c r="P254">
        <f t="shared" si="61"/>
        <v>14188</v>
      </c>
    </row>
    <row r="255" spans="1:16" x14ac:dyDescent="0.25">
      <c r="A255">
        <f t="shared" si="62"/>
        <v>249</v>
      </c>
      <c r="B255">
        <f t="shared" si="63"/>
        <v>6.2250000000000048E-2</v>
      </c>
      <c r="C255">
        <f t="shared" si="48"/>
        <v>0.64944804833019421</v>
      </c>
      <c r="D255">
        <f t="shared" si="49"/>
        <v>0.94264149109218287</v>
      </c>
      <c r="E255">
        <f t="shared" si="50"/>
        <v>0.64944804833019421</v>
      </c>
      <c r="F255">
        <f t="shared" si="51"/>
        <v>0.94264149109218287</v>
      </c>
      <c r="G255">
        <f t="shared" si="52"/>
        <v>0.61219667666488231</v>
      </c>
      <c r="H255">
        <f t="shared" si="53"/>
        <v>21280</v>
      </c>
      <c r="I255">
        <f t="shared" si="54"/>
        <v>21280</v>
      </c>
      <c r="J255">
        <f t="shared" si="55"/>
        <v>30887</v>
      </c>
      <c r="K255">
        <f t="shared" si="56"/>
        <v>452838400</v>
      </c>
      <c r="L255">
        <f t="shared" si="57"/>
        <v>954006769</v>
      </c>
      <c r="M255">
        <f t="shared" si="58"/>
        <v>20058</v>
      </c>
      <c r="P255">
        <f t="shared" si="61"/>
        <v>14188</v>
      </c>
    </row>
    <row r="256" spans="1:16" x14ac:dyDescent="0.25">
      <c r="A256">
        <f t="shared" si="62"/>
        <v>250</v>
      </c>
      <c r="B256">
        <f t="shared" si="63"/>
        <v>6.2500000000000042E-2</v>
      </c>
      <c r="C256">
        <f t="shared" si="48"/>
        <v>0.70710678118655768</v>
      </c>
      <c r="D256">
        <f t="shared" si="49"/>
        <v>0.96592582628907186</v>
      </c>
      <c r="E256">
        <f t="shared" si="50"/>
        <v>0.70710678118655768</v>
      </c>
      <c r="F256">
        <f t="shared" si="51"/>
        <v>0.96592582628907186</v>
      </c>
      <c r="G256">
        <f t="shared" si="52"/>
        <v>0.68301270189223162</v>
      </c>
      <c r="H256">
        <f t="shared" si="53"/>
        <v>23170</v>
      </c>
      <c r="I256">
        <f t="shared" si="54"/>
        <v>23169</v>
      </c>
      <c r="J256">
        <f t="shared" si="55"/>
        <v>31650</v>
      </c>
      <c r="K256">
        <f t="shared" si="56"/>
        <v>536802561</v>
      </c>
      <c r="L256">
        <f t="shared" si="57"/>
        <v>1001722500</v>
      </c>
      <c r="M256">
        <f t="shared" si="58"/>
        <v>22378</v>
      </c>
      <c r="P256">
        <f t="shared" si="61"/>
        <v>14188</v>
      </c>
    </row>
    <row r="257" spans="1:16" x14ac:dyDescent="0.25">
      <c r="A257">
        <f t="shared" si="62"/>
        <v>251</v>
      </c>
      <c r="B257">
        <f t="shared" si="63"/>
        <v>6.2750000000000042E-2</v>
      </c>
      <c r="C257">
        <f t="shared" si="48"/>
        <v>0.76040596560004048</v>
      </c>
      <c r="D257">
        <f t="shared" si="49"/>
        <v>0.98325490756395717</v>
      </c>
      <c r="E257">
        <f t="shared" si="50"/>
        <v>0.76040596560004048</v>
      </c>
      <c r="F257">
        <f t="shared" si="51"/>
        <v>0.98325490756395717</v>
      </c>
      <c r="G257">
        <f t="shared" si="52"/>
        <v>0.74767289741714937</v>
      </c>
      <c r="H257">
        <f t="shared" si="53"/>
        <v>24916</v>
      </c>
      <c r="I257">
        <f t="shared" si="54"/>
        <v>24916</v>
      </c>
      <c r="J257">
        <f t="shared" si="55"/>
        <v>32218</v>
      </c>
      <c r="K257">
        <f t="shared" si="56"/>
        <v>620807056</v>
      </c>
      <c r="L257">
        <f t="shared" si="57"/>
        <v>1037999524</v>
      </c>
      <c r="M257">
        <f t="shared" si="58"/>
        <v>24497</v>
      </c>
      <c r="P257">
        <f t="shared" si="61"/>
        <v>14188</v>
      </c>
    </row>
    <row r="258" spans="1:16" x14ac:dyDescent="0.25">
      <c r="A258">
        <f t="shared" si="62"/>
        <v>252</v>
      </c>
      <c r="B258">
        <f t="shared" si="63"/>
        <v>6.3000000000000042E-2</v>
      </c>
      <c r="C258">
        <f t="shared" si="48"/>
        <v>0.80901699437495433</v>
      </c>
      <c r="D258">
        <f t="shared" si="49"/>
        <v>0.99452189536827451</v>
      </c>
      <c r="E258">
        <f t="shared" si="50"/>
        <v>0.80901699437495433</v>
      </c>
      <c r="F258">
        <f t="shared" si="51"/>
        <v>0.99452189536827451</v>
      </c>
      <c r="G258">
        <f t="shared" si="52"/>
        <v>0.8045851146309243</v>
      </c>
      <c r="H258">
        <f t="shared" si="53"/>
        <v>26509</v>
      </c>
      <c r="I258">
        <f t="shared" si="54"/>
        <v>26509</v>
      </c>
      <c r="J258">
        <f t="shared" si="55"/>
        <v>32587</v>
      </c>
      <c r="K258">
        <f t="shared" si="56"/>
        <v>702727081</v>
      </c>
      <c r="L258">
        <f t="shared" si="57"/>
        <v>1061912569</v>
      </c>
      <c r="M258">
        <f t="shared" si="58"/>
        <v>26362</v>
      </c>
      <c r="P258">
        <f t="shared" si="61"/>
        <v>14188</v>
      </c>
    </row>
    <row r="259" spans="1:16" x14ac:dyDescent="0.25">
      <c r="A259">
        <f t="shared" si="62"/>
        <v>253</v>
      </c>
      <c r="B259">
        <f t="shared" si="63"/>
        <v>6.3250000000000042E-2</v>
      </c>
      <c r="C259">
        <f t="shared" si="48"/>
        <v>0.85264016435409851</v>
      </c>
      <c r="D259">
        <f t="shared" si="49"/>
        <v>0.99965732497555759</v>
      </c>
      <c r="E259">
        <f t="shared" si="50"/>
        <v>0.85264016435409851</v>
      </c>
      <c r="F259">
        <f t="shared" si="51"/>
        <v>0.99965732497555759</v>
      </c>
      <c r="G259">
        <f t="shared" si="52"/>
        <v>0.85234798586493787</v>
      </c>
      <c r="H259">
        <f t="shared" si="53"/>
        <v>27938</v>
      </c>
      <c r="I259">
        <f t="shared" si="54"/>
        <v>27938</v>
      </c>
      <c r="J259">
        <f t="shared" si="55"/>
        <v>32755</v>
      </c>
      <c r="K259">
        <f t="shared" si="56"/>
        <v>780531844</v>
      </c>
      <c r="L259">
        <f t="shared" si="57"/>
        <v>1072890025</v>
      </c>
      <c r="M259">
        <f t="shared" si="58"/>
        <v>27926</v>
      </c>
      <c r="P259">
        <f t="shared" si="61"/>
        <v>14188</v>
      </c>
    </row>
    <row r="260" spans="1:16" x14ac:dyDescent="0.25">
      <c r="A260">
        <f t="shared" si="62"/>
        <v>254</v>
      </c>
      <c r="B260">
        <f t="shared" si="63"/>
        <v>6.3500000000000043E-2</v>
      </c>
      <c r="C260">
        <f t="shared" si="48"/>
        <v>0.89100652418837356</v>
      </c>
      <c r="D260">
        <f t="shared" si="49"/>
        <v>0.99862953475457328</v>
      </c>
      <c r="E260">
        <f t="shared" si="50"/>
        <v>0.89100652418837356</v>
      </c>
      <c r="F260">
        <f t="shared" si="51"/>
        <v>0.99862953475457328</v>
      </c>
      <c r="G260">
        <f t="shared" si="52"/>
        <v>0.88978543071352489</v>
      </c>
      <c r="H260">
        <f t="shared" si="53"/>
        <v>29196</v>
      </c>
      <c r="I260">
        <f t="shared" si="54"/>
        <v>29195</v>
      </c>
      <c r="J260">
        <f t="shared" si="55"/>
        <v>32722</v>
      </c>
      <c r="K260">
        <f t="shared" si="56"/>
        <v>852348025</v>
      </c>
      <c r="L260">
        <f t="shared" si="57"/>
        <v>1070729284</v>
      </c>
      <c r="M260">
        <f t="shared" si="58"/>
        <v>29154</v>
      </c>
      <c r="P260">
        <f t="shared" si="61"/>
        <v>14188</v>
      </c>
    </row>
    <row r="261" spans="1:16" x14ac:dyDescent="0.25">
      <c r="A261">
        <f t="shared" si="62"/>
        <v>255</v>
      </c>
      <c r="B261">
        <f t="shared" si="63"/>
        <v>6.3750000000000043E-2</v>
      </c>
      <c r="C261">
        <f t="shared" si="48"/>
        <v>0.92387953251129173</v>
      </c>
      <c r="D261">
        <f t="shared" si="49"/>
        <v>0.99144486137380883</v>
      </c>
      <c r="E261">
        <f t="shared" si="50"/>
        <v>0.92387953251129173</v>
      </c>
      <c r="F261">
        <f t="shared" si="51"/>
        <v>0.99144486137380883</v>
      </c>
      <c r="G261">
        <f t="shared" si="52"/>
        <v>0.91597561503675695</v>
      </c>
      <c r="H261">
        <f t="shared" si="53"/>
        <v>30273</v>
      </c>
      <c r="I261">
        <f t="shared" si="54"/>
        <v>30272</v>
      </c>
      <c r="J261">
        <f t="shared" si="55"/>
        <v>32486</v>
      </c>
      <c r="K261">
        <f t="shared" si="56"/>
        <v>916393984</v>
      </c>
      <c r="L261">
        <f t="shared" si="57"/>
        <v>1055340196</v>
      </c>
      <c r="M261">
        <f t="shared" si="58"/>
        <v>30011</v>
      </c>
      <c r="P261">
        <f t="shared" si="61"/>
        <v>14188</v>
      </c>
    </row>
    <row r="262" spans="1:16" x14ac:dyDescent="0.25">
      <c r="A262">
        <f t="shared" si="62"/>
        <v>256</v>
      </c>
      <c r="B262">
        <f t="shared" si="63"/>
        <v>6.4000000000000043E-2</v>
      </c>
      <c r="C262">
        <f t="shared" si="48"/>
        <v>0.95105651629515775</v>
      </c>
      <c r="D262">
        <f t="shared" si="49"/>
        <v>0.97814760073380302</v>
      </c>
      <c r="E262">
        <f t="shared" si="50"/>
        <v>0.95105651629515775</v>
      </c>
      <c r="F262">
        <f t="shared" si="51"/>
        <v>0.97814760073380302</v>
      </c>
      <c r="G262">
        <f t="shared" si="52"/>
        <v>0.93027364957635761</v>
      </c>
      <c r="H262">
        <f t="shared" si="53"/>
        <v>31163</v>
      </c>
      <c r="I262">
        <f t="shared" si="54"/>
        <v>31163</v>
      </c>
      <c r="J262">
        <f t="shared" si="55"/>
        <v>32050</v>
      </c>
      <c r="K262">
        <f t="shared" si="56"/>
        <v>971132569</v>
      </c>
      <c r="L262">
        <f t="shared" si="57"/>
        <v>1027202500</v>
      </c>
      <c r="M262">
        <f t="shared" si="58"/>
        <v>30480</v>
      </c>
      <c r="P262">
        <f t="shared" si="61"/>
        <v>14188</v>
      </c>
    </row>
    <row r="263" spans="1:16" x14ac:dyDescent="0.25">
      <c r="A263">
        <f t="shared" si="62"/>
        <v>257</v>
      </c>
      <c r="B263">
        <f t="shared" si="63"/>
        <v>6.4250000000000043E-2</v>
      </c>
      <c r="C263">
        <f t="shared" ref="C263:C326" si="64">SIN(2*PI()*$C$4*B263)</f>
        <v>0.97236992039767989</v>
      </c>
      <c r="D263">
        <f t="shared" ref="D263:D326" si="65">SIN(2*PI()*$C$4*B263+$C$3*PI()/180)</f>
        <v>0.95881973486818928</v>
      </c>
      <c r="E263">
        <f t="shared" ref="E263:E326" si="66">C263*$C$1</f>
        <v>0.97236992039767989</v>
      </c>
      <c r="F263">
        <f t="shared" ref="F263:F326" si="67">D263*$C$2</f>
        <v>0.95881973486818928</v>
      </c>
      <c r="G263">
        <f t="shared" ref="G263:G326" si="68">E263*F263</f>
        <v>0.93232746926950572</v>
      </c>
      <c r="H263">
        <f t="shared" ref="H263:H326" si="69">IF(C263&gt;0,ROUND(C263*$F$2,0),ROUND(C263*$F$1,0))</f>
        <v>31862</v>
      </c>
      <c r="I263">
        <f t="shared" ref="I263:I326" si="70">IF(E263&gt;0,_xlfn.FLOOR.MATH(E263*$F$2),_xlfn.FLOOR.MATH(E263*$F$1))</f>
        <v>31861</v>
      </c>
      <c r="J263">
        <f t="shared" ref="J263:J326" si="71">IF(F263&gt;0,_xlfn.FLOOR.MATH(F263*$F$2),_xlfn.FLOOR.MATH(F263*$F$1))</f>
        <v>31417</v>
      </c>
      <c r="K263">
        <f t="shared" ref="K263:K326" si="72">_xlfn.FLOOR.MATH(I263*I263)</f>
        <v>1015123321</v>
      </c>
      <c r="L263">
        <f t="shared" ref="L263:L326" si="73">_xlfn.FLOOR.MATH(J263*J263)</f>
        <v>987027889</v>
      </c>
      <c r="M263">
        <f t="shared" ref="M263:M326" si="74">_xlfn.FLOOR.MATH((I263*J263)/$F$1)</f>
        <v>30547</v>
      </c>
      <c r="P263">
        <f t="shared" ref="P263:P326" si="75">_xlfn.FLOOR.MATH(SUM(M263:M342)/$F$3)</f>
        <v>14188</v>
      </c>
    </row>
    <row r="264" spans="1:16" x14ac:dyDescent="0.25">
      <c r="A264">
        <f t="shared" ref="A264:A327" si="76">A263+1</f>
        <v>258</v>
      </c>
      <c r="B264">
        <f t="shared" ref="B264:B327" si="77">B263+(1/4000)</f>
        <v>6.4500000000000043E-2</v>
      </c>
      <c r="C264">
        <f t="shared" si="64"/>
        <v>0.98768834059513999</v>
      </c>
      <c r="D264">
        <f t="shared" si="65"/>
        <v>0.93358042649719686</v>
      </c>
      <c r="E264">
        <f t="shared" si="66"/>
        <v>0.98768834059513999</v>
      </c>
      <c r="F264">
        <f t="shared" si="67"/>
        <v>0.93358042649719686</v>
      </c>
      <c r="G264">
        <f t="shared" si="68"/>
        <v>0.92208650225911948</v>
      </c>
      <c r="H264">
        <f t="shared" si="69"/>
        <v>32364</v>
      </c>
      <c r="I264">
        <f t="shared" si="70"/>
        <v>32363</v>
      </c>
      <c r="J264">
        <f t="shared" si="71"/>
        <v>30590</v>
      </c>
      <c r="K264">
        <f t="shared" si="72"/>
        <v>1047363769</v>
      </c>
      <c r="L264">
        <f t="shared" si="73"/>
        <v>935748100</v>
      </c>
      <c r="M264">
        <f t="shared" si="74"/>
        <v>30211</v>
      </c>
      <c r="P264">
        <f t="shared" si="75"/>
        <v>14188</v>
      </c>
    </row>
    <row r="265" spans="1:16" x14ac:dyDescent="0.25">
      <c r="A265">
        <f t="shared" si="76"/>
        <v>259</v>
      </c>
      <c r="B265">
        <f t="shared" si="77"/>
        <v>6.4750000000000044E-2</v>
      </c>
      <c r="C265">
        <f t="shared" si="64"/>
        <v>0.99691733373312919</v>
      </c>
      <c r="D265">
        <f t="shared" si="65"/>
        <v>0.90258528434985452</v>
      </c>
      <c r="E265">
        <f t="shared" si="66"/>
        <v>0.99691733373312919</v>
      </c>
      <c r="F265">
        <f t="shared" si="67"/>
        <v>0.90258528434985452</v>
      </c>
      <c r="G265">
        <f t="shared" si="68"/>
        <v>0.89980291514081523</v>
      </c>
      <c r="H265">
        <f t="shared" si="69"/>
        <v>32666</v>
      </c>
      <c r="I265">
        <f t="shared" si="70"/>
        <v>32665</v>
      </c>
      <c r="J265">
        <f t="shared" si="71"/>
        <v>29575</v>
      </c>
      <c r="K265">
        <f t="shared" si="72"/>
        <v>1067002225</v>
      </c>
      <c r="L265">
        <f t="shared" si="73"/>
        <v>874680625</v>
      </c>
      <c r="M265">
        <f t="shared" si="74"/>
        <v>29482</v>
      </c>
      <c r="P265">
        <f t="shared" si="75"/>
        <v>14188</v>
      </c>
    </row>
    <row r="266" spans="1:16" x14ac:dyDescent="0.25">
      <c r="A266">
        <f t="shared" si="76"/>
        <v>260</v>
      </c>
      <c r="B266">
        <f t="shared" si="77"/>
        <v>6.5000000000000044E-2</v>
      </c>
      <c r="C266">
        <f t="shared" si="64"/>
        <v>1</v>
      </c>
      <c r="D266">
        <f t="shared" si="65"/>
        <v>0.86602540378443138</v>
      </c>
      <c r="E266">
        <f t="shared" si="66"/>
        <v>1</v>
      </c>
      <c r="F266">
        <f t="shared" si="67"/>
        <v>0.86602540378443138</v>
      </c>
      <c r="G266">
        <f t="shared" si="68"/>
        <v>0.86602540378443138</v>
      </c>
      <c r="H266">
        <f t="shared" si="69"/>
        <v>32767</v>
      </c>
      <c r="I266">
        <f t="shared" si="70"/>
        <v>32767</v>
      </c>
      <c r="J266">
        <f t="shared" si="71"/>
        <v>28377</v>
      </c>
      <c r="K266">
        <f t="shared" si="72"/>
        <v>1073676289</v>
      </c>
      <c r="L266">
        <f t="shared" si="73"/>
        <v>805254129</v>
      </c>
      <c r="M266">
        <f t="shared" si="74"/>
        <v>28376</v>
      </c>
      <c r="P266">
        <f t="shared" si="75"/>
        <v>14188</v>
      </c>
    </row>
    <row r="267" spans="1:16" x14ac:dyDescent="0.25">
      <c r="A267">
        <f t="shared" si="76"/>
        <v>261</v>
      </c>
      <c r="B267">
        <f t="shared" si="77"/>
        <v>6.5250000000000044E-2</v>
      </c>
      <c r="C267">
        <f t="shared" si="64"/>
        <v>0.99691733373312674</v>
      </c>
      <c r="D267">
        <f t="shared" si="65"/>
        <v>0.82412618862200715</v>
      </c>
      <c r="E267">
        <f t="shared" si="66"/>
        <v>0.99691733373312674</v>
      </c>
      <c r="F267">
        <f t="shared" si="67"/>
        <v>0.82412618862200715</v>
      </c>
      <c r="G267">
        <f t="shared" si="68"/>
        <v>0.82158568262069531</v>
      </c>
      <c r="H267">
        <f t="shared" si="69"/>
        <v>32666</v>
      </c>
      <c r="I267">
        <f t="shared" si="70"/>
        <v>32665</v>
      </c>
      <c r="J267">
        <f t="shared" si="71"/>
        <v>27004</v>
      </c>
      <c r="K267">
        <f t="shared" si="72"/>
        <v>1067002225</v>
      </c>
      <c r="L267">
        <f t="shared" si="73"/>
        <v>729216016</v>
      </c>
      <c r="M267">
        <f t="shared" si="74"/>
        <v>26919</v>
      </c>
      <c r="P267">
        <f t="shared" si="75"/>
        <v>14188</v>
      </c>
    </row>
    <row r="268" spans="1:16" x14ac:dyDescent="0.25">
      <c r="A268">
        <f t="shared" si="76"/>
        <v>262</v>
      </c>
      <c r="B268">
        <f t="shared" si="77"/>
        <v>6.5500000000000044E-2</v>
      </c>
      <c r="C268">
        <f t="shared" si="64"/>
        <v>0.98768834059513577</v>
      </c>
      <c r="D268">
        <f t="shared" si="65"/>
        <v>0.77714596145696335</v>
      </c>
      <c r="E268">
        <f t="shared" si="66"/>
        <v>0.98768834059513577</v>
      </c>
      <c r="F268">
        <f t="shared" si="67"/>
        <v>0.77714596145696335</v>
      </c>
      <c r="G268">
        <f t="shared" si="68"/>
        <v>0.76757800507163942</v>
      </c>
      <c r="H268">
        <f t="shared" si="69"/>
        <v>32364</v>
      </c>
      <c r="I268">
        <f t="shared" si="70"/>
        <v>32363</v>
      </c>
      <c r="J268">
        <f t="shared" si="71"/>
        <v>25464</v>
      </c>
      <c r="K268">
        <f t="shared" si="72"/>
        <v>1047363769</v>
      </c>
      <c r="L268">
        <f t="shared" si="73"/>
        <v>648415296</v>
      </c>
      <c r="M268">
        <f t="shared" si="74"/>
        <v>25149</v>
      </c>
      <c r="P268">
        <f t="shared" si="75"/>
        <v>14188</v>
      </c>
    </row>
    <row r="269" spans="1:16" x14ac:dyDescent="0.25">
      <c r="A269">
        <f t="shared" si="76"/>
        <v>263</v>
      </c>
      <c r="B269">
        <f t="shared" si="77"/>
        <v>6.5750000000000045E-2</v>
      </c>
      <c r="C269">
        <f t="shared" si="64"/>
        <v>0.97236992039767356</v>
      </c>
      <c r="D269">
        <f t="shared" si="65"/>
        <v>0.72537437101227908</v>
      </c>
      <c r="E269">
        <f t="shared" si="66"/>
        <v>0.97236992039767356</v>
      </c>
      <c r="F269">
        <f t="shared" si="67"/>
        <v>0.72537437101227908</v>
      </c>
      <c r="G269">
        <f t="shared" si="68"/>
        <v>0.70533221939972235</v>
      </c>
      <c r="H269">
        <f t="shared" si="69"/>
        <v>31862</v>
      </c>
      <c r="I269">
        <f t="shared" si="70"/>
        <v>31861</v>
      </c>
      <c r="J269">
        <f t="shared" si="71"/>
        <v>23768</v>
      </c>
      <c r="K269">
        <f t="shared" si="72"/>
        <v>1015123321</v>
      </c>
      <c r="L269">
        <f t="shared" si="73"/>
        <v>564917824</v>
      </c>
      <c r="M269">
        <f t="shared" si="74"/>
        <v>23110</v>
      </c>
      <c r="P269">
        <f t="shared" si="75"/>
        <v>14188</v>
      </c>
    </row>
    <row r="270" spans="1:16" x14ac:dyDescent="0.25">
      <c r="A270">
        <f t="shared" si="76"/>
        <v>264</v>
      </c>
      <c r="B270">
        <f t="shared" si="77"/>
        <v>6.6000000000000045E-2</v>
      </c>
      <c r="C270">
        <f t="shared" si="64"/>
        <v>0.95105651629514942</v>
      </c>
      <c r="D270">
        <f t="shared" si="65"/>
        <v>0.66913060635884869</v>
      </c>
      <c r="E270">
        <f t="shared" si="66"/>
        <v>0.95105651629514942</v>
      </c>
      <c r="F270">
        <f t="shared" si="67"/>
        <v>0.66913060635884869</v>
      </c>
      <c r="G270">
        <f t="shared" si="68"/>
        <v>0.63638102343010761</v>
      </c>
      <c r="H270">
        <f t="shared" si="69"/>
        <v>31163</v>
      </c>
      <c r="I270">
        <f t="shared" si="70"/>
        <v>31163</v>
      </c>
      <c r="J270">
        <f t="shared" si="71"/>
        <v>21925</v>
      </c>
      <c r="K270">
        <f t="shared" si="72"/>
        <v>971132569</v>
      </c>
      <c r="L270">
        <f t="shared" si="73"/>
        <v>480705625</v>
      </c>
      <c r="M270">
        <f t="shared" si="74"/>
        <v>20851</v>
      </c>
      <c r="P270">
        <f t="shared" si="75"/>
        <v>14188</v>
      </c>
    </row>
    <row r="271" spans="1:16" x14ac:dyDescent="0.25">
      <c r="A271">
        <f t="shared" si="76"/>
        <v>265</v>
      </c>
      <c r="B271">
        <f t="shared" si="77"/>
        <v>6.6250000000000045E-2</v>
      </c>
      <c r="C271">
        <f t="shared" si="64"/>
        <v>0.92387953251128141</v>
      </c>
      <c r="D271">
        <f t="shared" si="65"/>
        <v>0.60876142900871011</v>
      </c>
      <c r="E271">
        <f t="shared" si="66"/>
        <v>0.92387953251128141</v>
      </c>
      <c r="F271">
        <f t="shared" si="67"/>
        <v>0.60876142900871011</v>
      </c>
      <c r="G271">
        <f t="shared" si="68"/>
        <v>0.56242222444346668</v>
      </c>
      <c r="H271">
        <f t="shared" si="69"/>
        <v>30273</v>
      </c>
      <c r="I271">
        <f t="shared" si="70"/>
        <v>30272</v>
      </c>
      <c r="J271">
        <f t="shared" si="71"/>
        <v>19947</v>
      </c>
      <c r="K271">
        <f t="shared" si="72"/>
        <v>916393984</v>
      </c>
      <c r="L271">
        <f t="shared" si="73"/>
        <v>397882809</v>
      </c>
      <c r="M271">
        <f t="shared" si="74"/>
        <v>18427</v>
      </c>
      <c r="P271">
        <f t="shared" si="75"/>
        <v>14188</v>
      </c>
    </row>
    <row r="272" spans="1:16" x14ac:dyDescent="0.25">
      <c r="A272">
        <f t="shared" si="76"/>
        <v>266</v>
      </c>
      <c r="B272">
        <f t="shared" si="77"/>
        <v>6.6500000000000045E-2</v>
      </c>
      <c r="C272">
        <f t="shared" si="64"/>
        <v>0.89100652418836135</v>
      </c>
      <c r="D272">
        <f t="shared" si="65"/>
        <v>0.54463903501501565</v>
      </c>
      <c r="E272">
        <f t="shared" si="66"/>
        <v>0.89100652418836135</v>
      </c>
      <c r="F272">
        <f t="shared" si="67"/>
        <v>0.54463903501501565</v>
      </c>
      <c r="G272">
        <f t="shared" si="68"/>
        <v>0.48527693352603235</v>
      </c>
      <c r="H272">
        <f t="shared" si="69"/>
        <v>29196</v>
      </c>
      <c r="I272">
        <f t="shared" si="70"/>
        <v>29195</v>
      </c>
      <c r="J272">
        <f t="shared" si="71"/>
        <v>17846</v>
      </c>
      <c r="K272">
        <f t="shared" si="72"/>
        <v>852348025</v>
      </c>
      <c r="L272">
        <f t="shared" si="73"/>
        <v>318479716</v>
      </c>
      <c r="M272">
        <f t="shared" si="74"/>
        <v>15900</v>
      </c>
      <c r="P272">
        <f t="shared" si="75"/>
        <v>14188</v>
      </c>
    </row>
    <row r="273" spans="1:16" x14ac:dyDescent="0.25">
      <c r="A273">
        <f t="shared" si="76"/>
        <v>267</v>
      </c>
      <c r="B273">
        <f t="shared" si="77"/>
        <v>6.6750000000000045E-2</v>
      </c>
      <c r="C273">
        <f t="shared" si="64"/>
        <v>0.85264016435408452</v>
      </c>
      <c r="D273">
        <f t="shared" si="65"/>
        <v>0.47715876025959603</v>
      </c>
      <c r="E273">
        <f t="shared" si="66"/>
        <v>0.85264016435408452</v>
      </c>
      <c r="F273">
        <f t="shared" si="67"/>
        <v>0.47715876025959603</v>
      </c>
      <c r="G273">
        <f t="shared" si="68"/>
        <v>0.40684472377073316</v>
      </c>
      <c r="H273">
        <f t="shared" si="69"/>
        <v>27938</v>
      </c>
      <c r="I273">
        <f t="shared" si="70"/>
        <v>27938</v>
      </c>
      <c r="J273">
        <f t="shared" si="71"/>
        <v>15635</v>
      </c>
      <c r="K273">
        <f t="shared" si="72"/>
        <v>780531844</v>
      </c>
      <c r="L273">
        <f t="shared" si="73"/>
        <v>244453225</v>
      </c>
      <c r="M273">
        <f t="shared" si="74"/>
        <v>13330</v>
      </c>
      <c r="P273">
        <f t="shared" si="75"/>
        <v>14188</v>
      </c>
    </row>
    <row r="274" spans="1:16" x14ac:dyDescent="0.25">
      <c r="A274">
        <f t="shared" si="76"/>
        <v>268</v>
      </c>
      <c r="B274">
        <f t="shared" si="77"/>
        <v>6.7000000000000046E-2</v>
      </c>
      <c r="C274">
        <f t="shared" si="64"/>
        <v>0.80901699437493846</v>
      </c>
      <c r="D274">
        <f t="shared" si="65"/>
        <v>0.40673664307578689</v>
      </c>
      <c r="E274">
        <f t="shared" si="66"/>
        <v>0.80901699437493846</v>
      </c>
      <c r="F274">
        <f t="shared" si="67"/>
        <v>0.40673664307578689</v>
      </c>
      <c r="G274">
        <f t="shared" si="68"/>
        <v>0.32905685648332522</v>
      </c>
      <c r="H274">
        <f t="shared" si="69"/>
        <v>26509</v>
      </c>
      <c r="I274">
        <f t="shared" si="70"/>
        <v>26509</v>
      </c>
      <c r="J274">
        <f t="shared" si="71"/>
        <v>13327</v>
      </c>
      <c r="K274">
        <f t="shared" si="72"/>
        <v>702727081</v>
      </c>
      <c r="L274">
        <f t="shared" si="73"/>
        <v>177608929</v>
      </c>
      <c r="M274">
        <f t="shared" si="74"/>
        <v>10781</v>
      </c>
      <c r="P274">
        <f t="shared" si="75"/>
        <v>14188</v>
      </c>
    </row>
    <row r="275" spans="1:16" x14ac:dyDescent="0.25">
      <c r="A275">
        <f t="shared" si="76"/>
        <v>269</v>
      </c>
      <c r="B275">
        <f t="shared" si="77"/>
        <v>6.7250000000000046E-2</v>
      </c>
      <c r="C275">
        <f t="shared" si="64"/>
        <v>0.76040596560002083</v>
      </c>
      <c r="D275">
        <f t="shared" si="65"/>
        <v>0.3338068592337568</v>
      </c>
      <c r="E275">
        <f t="shared" si="66"/>
        <v>0.76040596560002083</v>
      </c>
      <c r="F275">
        <f t="shared" si="67"/>
        <v>0.3338068592337568</v>
      </c>
      <c r="G275">
        <f t="shared" si="68"/>
        <v>0.25382872711955506</v>
      </c>
      <c r="H275">
        <f t="shared" si="69"/>
        <v>24916</v>
      </c>
      <c r="I275">
        <f t="shared" si="70"/>
        <v>24916</v>
      </c>
      <c r="J275">
        <f t="shared" si="71"/>
        <v>10937</v>
      </c>
      <c r="K275">
        <f t="shared" si="72"/>
        <v>620807056</v>
      </c>
      <c r="L275">
        <f t="shared" si="73"/>
        <v>119617969</v>
      </c>
      <c r="M275">
        <f t="shared" si="74"/>
        <v>8316</v>
      </c>
      <c r="P275">
        <f t="shared" si="75"/>
        <v>14188</v>
      </c>
    </row>
    <row r="276" spans="1:16" x14ac:dyDescent="0.25">
      <c r="A276">
        <f t="shared" si="76"/>
        <v>270</v>
      </c>
      <c r="B276">
        <f t="shared" si="77"/>
        <v>6.7500000000000046E-2</v>
      </c>
      <c r="C276">
        <f t="shared" si="64"/>
        <v>0.70710678118653614</v>
      </c>
      <c r="D276">
        <f t="shared" si="65"/>
        <v>0.25881904510250586</v>
      </c>
      <c r="E276">
        <f t="shared" si="66"/>
        <v>0.70710678118653614</v>
      </c>
      <c r="F276">
        <f t="shared" si="67"/>
        <v>0.25881904510250586</v>
      </c>
      <c r="G276">
        <f t="shared" si="68"/>
        <v>0.18301270189220584</v>
      </c>
      <c r="H276">
        <f t="shared" si="69"/>
        <v>23170</v>
      </c>
      <c r="I276">
        <f t="shared" si="70"/>
        <v>23169</v>
      </c>
      <c r="J276">
        <f t="shared" si="71"/>
        <v>8480</v>
      </c>
      <c r="K276">
        <f t="shared" si="72"/>
        <v>536802561</v>
      </c>
      <c r="L276">
        <f t="shared" si="73"/>
        <v>71910400</v>
      </c>
      <c r="M276">
        <f t="shared" si="74"/>
        <v>5995</v>
      </c>
      <c r="P276">
        <f t="shared" si="75"/>
        <v>14188</v>
      </c>
    </row>
    <row r="277" spans="1:16" x14ac:dyDescent="0.25">
      <c r="A277">
        <f t="shared" si="76"/>
        <v>271</v>
      </c>
      <c r="B277">
        <f t="shared" si="77"/>
        <v>6.7750000000000046E-2</v>
      </c>
      <c r="C277">
        <f t="shared" si="64"/>
        <v>0.64944804833017378</v>
      </c>
      <c r="D277">
        <f t="shared" si="65"/>
        <v>0.18223552549213534</v>
      </c>
      <c r="E277">
        <f t="shared" si="66"/>
        <v>0.64944804833017378</v>
      </c>
      <c r="F277">
        <f t="shared" si="67"/>
        <v>0.18223552549213534</v>
      </c>
      <c r="G277">
        <f t="shared" si="68"/>
        <v>0.11835250636729093</v>
      </c>
      <c r="H277">
        <f t="shared" si="69"/>
        <v>21280</v>
      </c>
      <c r="I277">
        <f t="shared" si="70"/>
        <v>21280</v>
      </c>
      <c r="J277">
        <f t="shared" si="71"/>
        <v>5971</v>
      </c>
      <c r="K277">
        <f t="shared" si="72"/>
        <v>452838400</v>
      </c>
      <c r="L277">
        <f t="shared" si="73"/>
        <v>35652841</v>
      </c>
      <c r="M277">
        <f t="shared" si="74"/>
        <v>3877</v>
      </c>
      <c r="P277">
        <f t="shared" si="75"/>
        <v>14188</v>
      </c>
    </row>
    <row r="278" spans="1:16" x14ac:dyDescent="0.25">
      <c r="A278">
        <f t="shared" si="76"/>
        <v>272</v>
      </c>
      <c r="B278">
        <f t="shared" si="77"/>
        <v>6.8000000000000047E-2</v>
      </c>
      <c r="C278">
        <f t="shared" si="64"/>
        <v>0.58778525229246226</v>
      </c>
      <c r="D278">
        <f t="shared" si="65"/>
        <v>0.10452846326764077</v>
      </c>
      <c r="E278">
        <f t="shared" si="66"/>
        <v>0.58778525229246226</v>
      </c>
      <c r="F278">
        <f t="shared" si="67"/>
        <v>0.10452846326764077</v>
      </c>
      <c r="G278">
        <f t="shared" si="68"/>
        <v>6.1440289153513607E-2</v>
      </c>
      <c r="H278">
        <f t="shared" si="69"/>
        <v>19260</v>
      </c>
      <c r="I278">
        <f t="shared" si="70"/>
        <v>19259</v>
      </c>
      <c r="J278">
        <f t="shared" si="71"/>
        <v>3425</v>
      </c>
      <c r="K278">
        <f t="shared" si="72"/>
        <v>370909081</v>
      </c>
      <c r="L278">
        <f t="shared" si="73"/>
        <v>11730625</v>
      </c>
      <c r="M278">
        <f t="shared" si="74"/>
        <v>2013</v>
      </c>
      <c r="P278">
        <f t="shared" si="75"/>
        <v>14188</v>
      </c>
    </row>
    <row r="279" spans="1:16" x14ac:dyDescent="0.25">
      <c r="A279">
        <f t="shared" si="76"/>
        <v>273</v>
      </c>
      <c r="B279">
        <f t="shared" si="77"/>
        <v>6.8250000000000047E-2</v>
      </c>
      <c r="C279">
        <f t="shared" si="64"/>
        <v>0.52249856471593703</v>
      </c>
      <c r="D279">
        <f t="shared" si="65"/>
        <v>2.6176948307859951E-2</v>
      </c>
      <c r="E279">
        <f t="shared" si="66"/>
        <v>0.52249856471593703</v>
      </c>
      <c r="F279">
        <f t="shared" si="67"/>
        <v>2.6176948307859951E-2</v>
      </c>
      <c r="G279">
        <f t="shared" si="68"/>
        <v>1.3677417919500102E-2</v>
      </c>
      <c r="H279">
        <f t="shared" si="69"/>
        <v>17121</v>
      </c>
      <c r="I279">
        <f t="shared" si="70"/>
        <v>17120</v>
      </c>
      <c r="J279">
        <f t="shared" si="71"/>
        <v>857</v>
      </c>
      <c r="K279">
        <f t="shared" si="72"/>
        <v>293094400</v>
      </c>
      <c r="L279">
        <f t="shared" si="73"/>
        <v>734449</v>
      </c>
      <c r="M279">
        <f t="shared" si="74"/>
        <v>447</v>
      </c>
      <c r="P279">
        <f t="shared" si="75"/>
        <v>14188</v>
      </c>
    </row>
    <row r="280" spans="1:16" x14ac:dyDescent="0.25">
      <c r="A280">
        <f t="shared" si="76"/>
        <v>274</v>
      </c>
      <c r="B280">
        <f t="shared" si="77"/>
        <v>6.8500000000000047E-2</v>
      </c>
      <c r="C280">
        <f t="shared" si="64"/>
        <v>0.45399049973953409</v>
      </c>
      <c r="D280">
        <f t="shared" si="65"/>
        <v>-5.2335956242957463E-2</v>
      </c>
      <c r="E280">
        <f t="shared" si="66"/>
        <v>0.45399049973953409</v>
      </c>
      <c r="F280">
        <f t="shared" si="67"/>
        <v>-5.2335956242957463E-2</v>
      </c>
      <c r="G280">
        <f t="shared" si="68"/>
        <v>-2.3760026929086648E-2</v>
      </c>
      <c r="H280">
        <f t="shared" si="69"/>
        <v>14876</v>
      </c>
      <c r="I280">
        <f t="shared" si="70"/>
        <v>14875</v>
      </c>
      <c r="J280">
        <f t="shared" si="71"/>
        <v>-1715</v>
      </c>
      <c r="K280">
        <f t="shared" si="72"/>
        <v>221265625</v>
      </c>
      <c r="L280">
        <f t="shared" si="73"/>
        <v>2941225</v>
      </c>
      <c r="M280">
        <f t="shared" si="74"/>
        <v>-779</v>
      </c>
      <c r="P280">
        <f t="shared" si="75"/>
        <v>14188</v>
      </c>
    </row>
    <row r="281" spans="1:16" x14ac:dyDescent="0.25">
      <c r="A281">
        <f t="shared" si="76"/>
        <v>275</v>
      </c>
      <c r="B281">
        <f t="shared" si="77"/>
        <v>6.8750000000000047E-2</v>
      </c>
      <c r="C281">
        <f t="shared" si="64"/>
        <v>0.38268343236507618</v>
      </c>
      <c r="D281">
        <f t="shared" si="65"/>
        <v>-0.13052619222006556</v>
      </c>
      <c r="E281">
        <f t="shared" si="66"/>
        <v>0.38268343236507618</v>
      </c>
      <c r="F281">
        <f t="shared" si="67"/>
        <v>-0.13052619222006556</v>
      </c>
      <c r="G281">
        <f t="shared" si="68"/>
        <v>-4.995021125231839E-2</v>
      </c>
      <c r="H281">
        <f t="shared" si="69"/>
        <v>12539</v>
      </c>
      <c r="I281">
        <f t="shared" si="70"/>
        <v>12539</v>
      </c>
      <c r="J281">
        <f t="shared" si="71"/>
        <v>-4278</v>
      </c>
      <c r="K281">
        <f t="shared" si="72"/>
        <v>157226521</v>
      </c>
      <c r="L281">
        <f t="shared" si="73"/>
        <v>18301284</v>
      </c>
      <c r="M281">
        <f t="shared" si="74"/>
        <v>-1638</v>
      </c>
      <c r="P281">
        <f t="shared" si="75"/>
        <v>14188</v>
      </c>
    </row>
    <row r="282" spans="1:16" x14ac:dyDescent="0.25">
      <c r="A282">
        <f t="shared" si="76"/>
        <v>276</v>
      </c>
      <c r="B282">
        <f t="shared" si="77"/>
        <v>6.9000000000000047E-2</v>
      </c>
      <c r="C282">
        <f t="shared" si="64"/>
        <v>0.30901699437493302</v>
      </c>
      <c r="D282">
        <f t="shared" si="65"/>
        <v>-0.20791169081777355</v>
      </c>
      <c r="E282">
        <f t="shared" si="66"/>
        <v>0.30901699437493302</v>
      </c>
      <c r="F282">
        <f t="shared" si="67"/>
        <v>-0.20791169081777355</v>
      </c>
      <c r="G282">
        <f t="shared" si="68"/>
        <v>-6.4248245791918748E-2</v>
      </c>
      <c r="H282">
        <f t="shared" si="69"/>
        <v>10126</v>
      </c>
      <c r="I282">
        <f t="shared" si="70"/>
        <v>10125</v>
      </c>
      <c r="J282">
        <f t="shared" si="71"/>
        <v>-6813</v>
      </c>
      <c r="K282">
        <f t="shared" si="72"/>
        <v>102515625</v>
      </c>
      <c r="L282">
        <f t="shared" si="73"/>
        <v>46416969</v>
      </c>
      <c r="M282">
        <f t="shared" si="74"/>
        <v>-2106</v>
      </c>
      <c r="P282">
        <f t="shared" si="75"/>
        <v>14188</v>
      </c>
    </row>
    <row r="283" spans="1:16" x14ac:dyDescent="0.25">
      <c r="A283">
        <f t="shared" si="76"/>
        <v>277</v>
      </c>
      <c r="B283">
        <f t="shared" si="77"/>
        <v>6.9250000000000048E-2</v>
      </c>
      <c r="C283">
        <f t="shared" si="64"/>
        <v>0.23344536385589026</v>
      </c>
      <c r="D283">
        <f t="shared" si="65"/>
        <v>-0.28401534470393697</v>
      </c>
      <c r="E283">
        <f t="shared" si="66"/>
        <v>0.23344536385589026</v>
      </c>
      <c r="F283">
        <f t="shared" si="67"/>
        <v>-0.28401534470393697</v>
      </c>
      <c r="G283">
        <f t="shared" si="68"/>
        <v>-6.6302065485066661E-2</v>
      </c>
      <c r="H283">
        <f t="shared" si="69"/>
        <v>7649</v>
      </c>
      <c r="I283">
        <f t="shared" si="70"/>
        <v>7649</v>
      </c>
      <c r="J283">
        <f t="shared" si="71"/>
        <v>-9307</v>
      </c>
      <c r="K283">
        <f t="shared" si="72"/>
        <v>58507201</v>
      </c>
      <c r="L283">
        <f t="shared" si="73"/>
        <v>86620249</v>
      </c>
      <c r="M283">
        <f t="shared" si="74"/>
        <v>-2173</v>
      </c>
      <c r="P283">
        <f t="shared" si="75"/>
        <v>14188</v>
      </c>
    </row>
    <row r="284" spans="1:16" x14ac:dyDescent="0.25">
      <c r="A284">
        <f t="shared" si="76"/>
        <v>278</v>
      </c>
      <c r="B284">
        <f t="shared" si="77"/>
        <v>6.9500000000000048E-2</v>
      </c>
      <c r="C284">
        <f t="shared" si="64"/>
        <v>0.15643446504021505</v>
      </c>
      <c r="D284">
        <f t="shared" si="65"/>
        <v>-0.35836794954531465</v>
      </c>
      <c r="E284">
        <f t="shared" si="66"/>
        <v>0.15643446504021505</v>
      </c>
      <c r="F284">
        <f t="shared" si="67"/>
        <v>-0.35836794954531465</v>
      </c>
      <c r="G284">
        <f t="shared" si="68"/>
        <v>-5.6061098474680077E-2</v>
      </c>
      <c r="H284">
        <f t="shared" si="69"/>
        <v>5126</v>
      </c>
      <c r="I284">
        <f t="shared" si="70"/>
        <v>5125</v>
      </c>
      <c r="J284">
        <f t="shared" si="71"/>
        <v>-11744</v>
      </c>
      <c r="K284">
        <f t="shared" si="72"/>
        <v>26265625</v>
      </c>
      <c r="L284">
        <f t="shared" si="73"/>
        <v>137921536</v>
      </c>
      <c r="M284">
        <f t="shared" si="74"/>
        <v>-1837</v>
      </c>
      <c r="P284">
        <f t="shared" si="75"/>
        <v>14188</v>
      </c>
    </row>
    <row r="285" spans="1:16" x14ac:dyDescent="0.25">
      <c r="A285">
        <f t="shared" si="76"/>
        <v>279</v>
      </c>
      <c r="B285">
        <f t="shared" si="77"/>
        <v>6.9750000000000048E-2</v>
      </c>
      <c r="C285">
        <f t="shared" si="64"/>
        <v>7.8459095727828526E-2</v>
      </c>
      <c r="D285">
        <f t="shared" si="65"/>
        <v>-0.43051109680830946</v>
      </c>
      <c r="E285">
        <f t="shared" si="66"/>
        <v>7.8459095727828526E-2</v>
      </c>
      <c r="F285">
        <f t="shared" si="67"/>
        <v>-0.43051109680830946</v>
      </c>
      <c r="G285">
        <f t="shared" si="68"/>
        <v>-3.3777511356375606E-2</v>
      </c>
      <c r="H285">
        <f t="shared" si="69"/>
        <v>2571</v>
      </c>
      <c r="I285">
        <f t="shared" si="70"/>
        <v>2570</v>
      </c>
      <c r="J285">
        <f t="shared" si="71"/>
        <v>-14107</v>
      </c>
      <c r="K285">
        <f t="shared" si="72"/>
        <v>6604900</v>
      </c>
      <c r="L285">
        <f t="shared" si="73"/>
        <v>199007449</v>
      </c>
      <c r="M285">
        <f t="shared" si="74"/>
        <v>-1107</v>
      </c>
      <c r="P285">
        <f t="shared" si="75"/>
        <v>14188</v>
      </c>
    </row>
    <row r="286" spans="1:16" x14ac:dyDescent="0.25">
      <c r="A286">
        <f t="shared" si="76"/>
        <v>280</v>
      </c>
      <c r="B286">
        <f t="shared" si="77"/>
        <v>7.0000000000000048E-2</v>
      </c>
      <c r="C286">
        <f t="shared" si="64"/>
        <v>-1.6905964475566471E-14</v>
      </c>
      <c r="D286">
        <f t="shared" si="65"/>
        <v>-0.5000000000000141</v>
      </c>
      <c r="E286">
        <f t="shared" si="66"/>
        <v>-1.6905964475566471E-14</v>
      </c>
      <c r="F286">
        <f t="shared" si="67"/>
        <v>-0.5000000000000141</v>
      </c>
      <c r="G286">
        <f t="shared" si="68"/>
        <v>8.4529822377834736E-15</v>
      </c>
      <c r="H286">
        <f t="shared" si="69"/>
        <v>0</v>
      </c>
      <c r="I286">
        <f t="shared" si="70"/>
        <v>-1</v>
      </c>
      <c r="J286">
        <f t="shared" si="71"/>
        <v>-16385</v>
      </c>
      <c r="K286">
        <f t="shared" si="72"/>
        <v>1</v>
      </c>
      <c r="L286">
        <f t="shared" si="73"/>
        <v>268468225</v>
      </c>
      <c r="M286">
        <f t="shared" si="74"/>
        <v>0</v>
      </c>
      <c r="P286">
        <f t="shared" si="75"/>
        <v>14188</v>
      </c>
    </row>
    <row r="287" spans="1:16" x14ac:dyDescent="0.25">
      <c r="A287">
        <f t="shared" si="76"/>
        <v>281</v>
      </c>
      <c r="B287">
        <f t="shared" si="77"/>
        <v>7.0250000000000049E-2</v>
      </c>
      <c r="C287">
        <f t="shared" si="64"/>
        <v>-7.8459095727858696E-2</v>
      </c>
      <c r="D287">
        <f t="shared" si="65"/>
        <v>-0.56640623692484371</v>
      </c>
      <c r="E287">
        <f t="shared" si="66"/>
        <v>-7.8459095727858696E-2</v>
      </c>
      <c r="F287">
        <f t="shared" si="67"/>
        <v>-0.56640623692484371</v>
      </c>
      <c r="G287">
        <f t="shared" si="68"/>
        <v>4.4439721163742528E-2</v>
      </c>
      <c r="H287">
        <f t="shared" si="69"/>
        <v>-2571</v>
      </c>
      <c r="I287">
        <f t="shared" si="70"/>
        <v>-2571</v>
      </c>
      <c r="J287">
        <f t="shared" si="71"/>
        <v>-18560</v>
      </c>
      <c r="K287">
        <f t="shared" si="72"/>
        <v>6610041</v>
      </c>
      <c r="L287">
        <f t="shared" si="73"/>
        <v>344473600</v>
      </c>
      <c r="M287">
        <f t="shared" si="74"/>
        <v>1456</v>
      </c>
      <c r="P287">
        <f t="shared" si="75"/>
        <v>14188</v>
      </c>
    </row>
    <row r="288" spans="1:16" x14ac:dyDescent="0.25">
      <c r="A288">
        <f t="shared" si="76"/>
        <v>282</v>
      </c>
      <c r="B288">
        <f t="shared" si="77"/>
        <v>7.0500000000000049E-2</v>
      </c>
      <c r="C288">
        <f t="shared" si="64"/>
        <v>-0.15643446504024494</v>
      </c>
      <c r="D288">
        <f t="shared" si="65"/>
        <v>-0.62932039104984805</v>
      </c>
      <c r="E288">
        <f t="shared" si="66"/>
        <v>-0.15643446504024494</v>
      </c>
      <c r="F288">
        <f t="shared" si="67"/>
        <v>-0.62932039104984805</v>
      </c>
      <c r="G288">
        <f t="shared" si="68"/>
        <v>9.8447398712800727E-2</v>
      </c>
      <c r="H288">
        <f t="shared" si="69"/>
        <v>-5126</v>
      </c>
      <c r="I288">
        <f t="shared" si="70"/>
        <v>-5127</v>
      </c>
      <c r="J288">
        <f t="shared" si="71"/>
        <v>-20622</v>
      </c>
      <c r="K288">
        <f t="shared" si="72"/>
        <v>26286129</v>
      </c>
      <c r="L288">
        <f t="shared" si="73"/>
        <v>425266884</v>
      </c>
      <c r="M288">
        <f t="shared" si="74"/>
        <v>3226</v>
      </c>
      <c r="P288">
        <f t="shared" si="75"/>
        <v>14188</v>
      </c>
    </row>
    <row r="289" spans="1:16" x14ac:dyDescent="0.25">
      <c r="A289">
        <f t="shared" si="76"/>
        <v>283</v>
      </c>
      <c r="B289">
        <f t="shared" si="77"/>
        <v>7.0750000000000049E-2</v>
      </c>
      <c r="C289">
        <f t="shared" si="64"/>
        <v>-0.23344536385591969</v>
      </c>
      <c r="D289">
        <f t="shared" si="65"/>
        <v>-0.68835457569376424</v>
      </c>
      <c r="E289">
        <f t="shared" si="66"/>
        <v>-0.23344536385591969</v>
      </c>
      <c r="F289">
        <f t="shared" si="67"/>
        <v>-0.68835457569376424</v>
      </c>
      <c r="G289">
        <f t="shared" si="68"/>
        <v>0.160693184384718</v>
      </c>
      <c r="H289">
        <f t="shared" si="69"/>
        <v>-7650</v>
      </c>
      <c r="I289">
        <f t="shared" si="70"/>
        <v>-7650</v>
      </c>
      <c r="J289">
        <f t="shared" si="71"/>
        <v>-22557</v>
      </c>
      <c r="K289">
        <f t="shared" si="72"/>
        <v>58522500</v>
      </c>
      <c r="L289">
        <f t="shared" si="73"/>
        <v>508818249</v>
      </c>
      <c r="M289">
        <f t="shared" si="74"/>
        <v>5266</v>
      </c>
      <c r="P289">
        <f t="shared" si="75"/>
        <v>14188</v>
      </c>
    </row>
    <row r="290" spans="1:16" x14ac:dyDescent="0.25">
      <c r="A290">
        <f t="shared" si="76"/>
        <v>284</v>
      </c>
      <c r="B290">
        <f t="shared" si="77"/>
        <v>7.1000000000000049E-2</v>
      </c>
      <c r="C290">
        <f t="shared" si="64"/>
        <v>-0.30901699437496183</v>
      </c>
      <c r="D290">
        <f t="shared" si="65"/>
        <v>-0.7431448254774039</v>
      </c>
      <c r="E290">
        <f t="shared" si="66"/>
        <v>-0.30901699437496183</v>
      </c>
      <c r="F290">
        <f t="shared" si="67"/>
        <v>-0.7431448254774039</v>
      </c>
      <c r="G290">
        <f t="shared" si="68"/>
        <v>0.22964438035433291</v>
      </c>
      <c r="H290">
        <f t="shared" si="69"/>
        <v>-10126</v>
      </c>
      <c r="I290">
        <f t="shared" si="70"/>
        <v>-10126</v>
      </c>
      <c r="J290">
        <f t="shared" si="71"/>
        <v>-24352</v>
      </c>
      <c r="K290">
        <f t="shared" si="72"/>
        <v>102535876</v>
      </c>
      <c r="L290">
        <f t="shared" si="73"/>
        <v>593019904</v>
      </c>
      <c r="M290">
        <f t="shared" si="74"/>
        <v>7525</v>
      </c>
      <c r="P290">
        <f t="shared" si="75"/>
        <v>14188</v>
      </c>
    </row>
    <row r="291" spans="1:16" x14ac:dyDescent="0.25">
      <c r="A291">
        <f t="shared" si="76"/>
        <v>285</v>
      </c>
      <c r="B291">
        <f t="shared" si="77"/>
        <v>7.1250000000000049E-2</v>
      </c>
      <c r="C291">
        <f t="shared" si="64"/>
        <v>-0.38268343236510416</v>
      </c>
      <c r="D291">
        <f t="shared" si="65"/>
        <v>-0.79335334029124427</v>
      </c>
      <c r="E291">
        <f t="shared" si="66"/>
        <v>-0.38268343236510416</v>
      </c>
      <c r="F291">
        <f t="shared" si="67"/>
        <v>-0.79335334029124427</v>
      </c>
      <c r="G291">
        <f t="shared" si="68"/>
        <v>0.30360317934097386</v>
      </c>
      <c r="H291">
        <f t="shared" si="69"/>
        <v>-12540</v>
      </c>
      <c r="I291">
        <f t="shared" si="70"/>
        <v>-12540</v>
      </c>
      <c r="J291">
        <f t="shared" si="71"/>
        <v>-25997</v>
      </c>
      <c r="K291">
        <f t="shared" si="72"/>
        <v>157251600</v>
      </c>
      <c r="L291">
        <f t="shared" si="73"/>
        <v>675844009</v>
      </c>
      <c r="M291">
        <f t="shared" si="74"/>
        <v>9948</v>
      </c>
      <c r="P291">
        <f t="shared" si="75"/>
        <v>14188</v>
      </c>
    </row>
    <row r="292" spans="1:16" x14ac:dyDescent="0.25">
      <c r="A292">
        <f t="shared" si="76"/>
        <v>286</v>
      </c>
      <c r="B292">
        <f t="shared" si="77"/>
        <v>7.150000000000005E-2</v>
      </c>
      <c r="C292">
        <f t="shared" si="64"/>
        <v>-0.45399049973956107</v>
      </c>
      <c r="D292">
        <f t="shared" si="65"/>
        <v>-0.83867056794543238</v>
      </c>
      <c r="E292">
        <f t="shared" si="66"/>
        <v>-0.45399049973956107</v>
      </c>
      <c r="F292">
        <f t="shared" si="67"/>
        <v>-0.83867056794543238</v>
      </c>
      <c r="G292">
        <f t="shared" si="68"/>
        <v>0.38074847025840836</v>
      </c>
      <c r="H292">
        <f t="shared" si="69"/>
        <v>-14876</v>
      </c>
      <c r="I292">
        <f t="shared" si="70"/>
        <v>-14877</v>
      </c>
      <c r="J292">
        <f t="shared" si="71"/>
        <v>-27482</v>
      </c>
      <c r="K292">
        <f t="shared" si="72"/>
        <v>221325129</v>
      </c>
      <c r="L292">
        <f t="shared" si="73"/>
        <v>755260324</v>
      </c>
      <c r="M292">
        <f t="shared" si="74"/>
        <v>12477</v>
      </c>
      <c r="P292">
        <f t="shared" si="75"/>
        <v>14188</v>
      </c>
    </row>
    <row r="293" spans="1:16" x14ac:dyDescent="0.25">
      <c r="A293">
        <f t="shared" si="76"/>
        <v>287</v>
      </c>
      <c r="B293">
        <f t="shared" si="77"/>
        <v>7.175000000000005E-2</v>
      </c>
      <c r="C293">
        <f t="shared" si="64"/>
        <v>-0.5224985647159629</v>
      </c>
      <c r="D293">
        <f t="shared" si="65"/>
        <v>-0.87881711266197293</v>
      </c>
      <c r="E293">
        <f t="shared" si="66"/>
        <v>-0.5224985647159629</v>
      </c>
      <c r="F293">
        <f t="shared" si="67"/>
        <v>-0.87881711266197293</v>
      </c>
      <c r="G293">
        <f t="shared" si="68"/>
        <v>0.45918068001370754</v>
      </c>
      <c r="H293">
        <f t="shared" si="69"/>
        <v>-17121</v>
      </c>
      <c r="I293">
        <f t="shared" si="70"/>
        <v>-17122</v>
      </c>
      <c r="J293">
        <f t="shared" si="71"/>
        <v>-28798</v>
      </c>
      <c r="K293">
        <f t="shared" si="72"/>
        <v>293162884</v>
      </c>
      <c r="L293">
        <f t="shared" si="73"/>
        <v>829324804</v>
      </c>
      <c r="M293">
        <f t="shared" si="74"/>
        <v>15047</v>
      </c>
      <c r="P293">
        <f t="shared" si="75"/>
        <v>14188</v>
      </c>
    </row>
    <row r="294" spans="1:16" x14ac:dyDescent="0.25">
      <c r="A294">
        <f t="shared" si="76"/>
        <v>288</v>
      </c>
      <c r="B294">
        <f t="shared" si="77"/>
        <v>7.200000000000005E-2</v>
      </c>
      <c r="C294">
        <f t="shared" si="64"/>
        <v>-0.58778525229248679</v>
      </c>
      <c r="D294">
        <f t="shared" si="65"/>
        <v>-0.91354545764260753</v>
      </c>
      <c r="E294">
        <f t="shared" si="66"/>
        <v>-0.58778525229248679</v>
      </c>
      <c r="F294">
        <f t="shared" si="67"/>
        <v>-0.91354545764260753</v>
      </c>
      <c r="G294">
        <f t="shared" si="68"/>
        <v>0.53696854730111532</v>
      </c>
      <c r="H294">
        <f t="shared" si="69"/>
        <v>-19261</v>
      </c>
      <c r="I294">
        <f t="shared" si="70"/>
        <v>-19261</v>
      </c>
      <c r="J294">
        <f t="shared" si="71"/>
        <v>-29936</v>
      </c>
      <c r="K294">
        <f t="shared" si="72"/>
        <v>370986121</v>
      </c>
      <c r="L294">
        <f t="shared" si="73"/>
        <v>896164096</v>
      </c>
      <c r="M294">
        <f t="shared" si="74"/>
        <v>17596</v>
      </c>
      <c r="P294">
        <f t="shared" si="75"/>
        <v>14188</v>
      </c>
    </row>
    <row r="295" spans="1:16" x14ac:dyDescent="0.25">
      <c r="A295">
        <f t="shared" si="76"/>
        <v>289</v>
      </c>
      <c r="B295">
        <f t="shared" si="77"/>
        <v>7.225000000000005E-2</v>
      </c>
      <c r="C295">
        <f t="shared" si="64"/>
        <v>-0.64944804833019687</v>
      </c>
      <c r="D295">
        <f t="shared" si="65"/>
        <v>-0.94264149109218398</v>
      </c>
      <c r="E295">
        <f t="shared" si="66"/>
        <v>-0.64944804833019687</v>
      </c>
      <c r="F295">
        <f t="shared" si="67"/>
        <v>-0.94264149109218398</v>
      </c>
      <c r="G295">
        <f t="shared" si="68"/>
        <v>0.61219667666488553</v>
      </c>
      <c r="H295">
        <f t="shared" si="69"/>
        <v>-21281</v>
      </c>
      <c r="I295">
        <f t="shared" si="70"/>
        <v>-21282</v>
      </c>
      <c r="J295">
        <f t="shared" si="71"/>
        <v>-30889</v>
      </c>
      <c r="K295">
        <f t="shared" si="72"/>
        <v>452923524</v>
      </c>
      <c r="L295">
        <f t="shared" si="73"/>
        <v>954130321</v>
      </c>
      <c r="M295">
        <f t="shared" si="74"/>
        <v>20061</v>
      </c>
      <c r="P295">
        <f t="shared" si="75"/>
        <v>14188</v>
      </c>
    </row>
    <row r="296" spans="1:16" x14ac:dyDescent="0.25">
      <c r="A296">
        <f t="shared" si="76"/>
        <v>290</v>
      </c>
      <c r="B296">
        <f t="shared" si="77"/>
        <v>7.2500000000000051E-2</v>
      </c>
      <c r="C296">
        <f t="shared" si="64"/>
        <v>-0.70710678118656012</v>
      </c>
      <c r="D296">
        <f t="shared" si="65"/>
        <v>-0.96592582628907275</v>
      </c>
      <c r="E296">
        <f t="shared" si="66"/>
        <v>-0.70710678118656012</v>
      </c>
      <c r="F296">
        <f t="shared" si="67"/>
        <v>-0.96592582628907275</v>
      </c>
      <c r="G296">
        <f t="shared" si="68"/>
        <v>0.68301270189223462</v>
      </c>
      <c r="H296">
        <f t="shared" si="69"/>
        <v>-23170</v>
      </c>
      <c r="I296">
        <f t="shared" si="70"/>
        <v>-23171</v>
      </c>
      <c r="J296">
        <f t="shared" si="71"/>
        <v>-31652</v>
      </c>
      <c r="K296">
        <f t="shared" si="72"/>
        <v>536895241</v>
      </c>
      <c r="L296">
        <f t="shared" si="73"/>
        <v>1001849104</v>
      </c>
      <c r="M296">
        <f t="shared" si="74"/>
        <v>22381</v>
      </c>
      <c r="P296">
        <f t="shared" si="75"/>
        <v>14188</v>
      </c>
    </row>
    <row r="297" spans="1:16" x14ac:dyDescent="0.25">
      <c r="A297">
        <f t="shared" si="76"/>
        <v>291</v>
      </c>
      <c r="B297">
        <f t="shared" si="77"/>
        <v>7.2750000000000051E-2</v>
      </c>
      <c r="C297">
        <f t="shared" si="64"/>
        <v>-0.76040596560004048</v>
      </c>
      <c r="D297">
        <f t="shared" si="65"/>
        <v>-0.98325490756395717</v>
      </c>
      <c r="E297">
        <f t="shared" si="66"/>
        <v>-0.76040596560004048</v>
      </c>
      <c r="F297">
        <f t="shared" si="67"/>
        <v>-0.98325490756395717</v>
      </c>
      <c r="G297">
        <f t="shared" si="68"/>
        <v>0.74767289741714937</v>
      </c>
      <c r="H297">
        <f t="shared" si="69"/>
        <v>-24917</v>
      </c>
      <c r="I297">
        <f t="shared" si="70"/>
        <v>-24917</v>
      </c>
      <c r="J297">
        <f t="shared" si="71"/>
        <v>-32220</v>
      </c>
      <c r="K297">
        <f t="shared" si="72"/>
        <v>620856889</v>
      </c>
      <c r="L297">
        <f t="shared" si="73"/>
        <v>1038128400</v>
      </c>
      <c r="M297">
        <f t="shared" si="74"/>
        <v>24500</v>
      </c>
      <c r="P297">
        <f t="shared" si="75"/>
        <v>14188</v>
      </c>
    </row>
    <row r="298" spans="1:16" x14ac:dyDescent="0.25">
      <c r="A298">
        <f t="shared" si="76"/>
        <v>292</v>
      </c>
      <c r="B298">
        <f t="shared" si="77"/>
        <v>7.3000000000000051E-2</v>
      </c>
      <c r="C298">
        <f t="shared" si="64"/>
        <v>-0.80901699437495633</v>
      </c>
      <c r="D298">
        <f t="shared" si="65"/>
        <v>-0.99452189536827484</v>
      </c>
      <c r="E298">
        <f t="shared" si="66"/>
        <v>-0.80901699437495633</v>
      </c>
      <c r="F298">
        <f t="shared" si="67"/>
        <v>-0.99452189536827484</v>
      </c>
      <c r="G298">
        <f t="shared" si="68"/>
        <v>0.80458511463092652</v>
      </c>
      <c r="H298">
        <f t="shared" si="69"/>
        <v>-26510</v>
      </c>
      <c r="I298">
        <f t="shared" si="70"/>
        <v>-26510</v>
      </c>
      <c r="J298">
        <f t="shared" si="71"/>
        <v>-32589</v>
      </c>
      <c r="K298">
        <f t="shared" si="72"/>
        <v>702780100</v>
      </c>
      <c r="L298">
        <f t="shared" si="73"/>
        <v>1062042921</v>
      </c>
      <c r="M298">
        <f t="shared" si="74"/>
        <v>26365</v>
      </c>
      <c r="P298">
        <f t="shared" si="75"/>
        <v>14188</v>
      </c>
    </row>
    <row r="299" spans="1:16" x14ac:dyDescent="0.25">
      <c r="A299">
        <f t="shared" si="76"/>
        <v>293</v>
      </c>
      <c r="B299">
        <f t="shared" si="77"/>
        <v>7.3250000000000051E-2</v>
      </c>
      <c r="C299">
        <f t="shared" si="64"/>
        <v>-0.85264016435410028</v>
      </c>
      <c r="D299">
        <f t="shared" si="65"/>
        <v>-0.9996573249755577</v>
      </c>
      <c r="E299">
        <f t="shared" si="66"/>
        <v>-0.85264016435410028</v>
      </c>
      <c r="F299">
        <f t="shared" si="67"/>
        <v>-0.9996573249755577</v>
      </c>
      <c r="G299">
        <f t="shared" si="68"/>
        <v>0.85234798586493976</v>
      </c>
      <c r="H299">
        <f t="shared" si="69"/>
        <v>-27939</v>
      </c>
      <c r="I299">
        <f t="shared" si="70"/>
        <v>-27940</v>
      </c>
      <c r="J299">
        <f t="shared" si="71"/>
        <v>-32757</v>
      </c>
      <c r="K299">
        <f t="shared" si="72"/>
        <v>780643600</v>
      </c>
      <c r="L299">
        <f t="shared" si="73"/>
        <v>1073021049</v>
      </c>
      <c r="M299">
        <f t="shared" si="74"/>
        <v>27930</v>
      </c>
      <c r="P299">
        <f t="shared" si="75"/>
        <v>14188</v>
      </c>
    </row>
    <row r="300" spans="1:16" x14ac:dyDescent="0.25">
      <c r="A300">
        <f t="shared" si="76"/>
        <v>294</v>
      </c>
      <c r="B300">
        <f t="shared" si="77"/>
        <v>7.3500000000000051E-2</v>
      </c>
      <c r="C300">
        <f t="shared" si="64"/>
        <v>-0.89100652418837512</v>
      </c>
      <c r="D300">
        <f t="shared" si="65"/>
        <v>-0.99862953475457306</v>
      </c>
      <c r="E300">
        <f t="shared" si="66"/>
        <v>-0.89100652418837512</v>
      </c>
      <c r="F300">
        <f t="shared" si="67"/>
        <v>-0.99862953475457306</v>
      </c>
      <c r="G300">
        <f t="shared" si="68"/>
        <v>0.88978543071352634</v>
      </c>
      <c r="H300">
        <f t="shared" si="69"/>
        <v>-29197</v>
      </c>
      <c r="I300">
        <f t="shared" si="70"/>
        <v>-29197</v>
      </c>
      <c r="J300">
        <f t="shared" si="71"/>
        <v>-32724</v>
      </c>
      <c r="K300">
        <f t="shared" si="72"/>
        <v>852464809</v>
      </c>
      <c r="L300">
        <f t="shared" si="73"/>
        <v>1070860176</v>
      </c>
      <c r="M300">
        <f t="shared" si="74"/>
        <v>29157</v>
      </c>
      <c r="P300">
        <f t="shared" si="75"/>
        <v>14188</v>
      </c>
    </row>
    <row r="301" spans="1:16" x14ac:dyDescent="0.25">
      <c r="A301">
        <f t="shared" si="76"/>
        <v>295</v>
      </c>
      <c r="B301">
        <f t="shared" si="77"/>
        <v>7.3750000000000052E-2</v>
      </c>
      <c r="C301">
        <f t="shared" si="64"/>
        <v>-0.92387953251129307</v>
      </c>
      <c r="D301">
        <f t="shared" si="65"/>
        <v>-0.99144486137380838</v>
      </c>
      <c r="E301">
        <f t="shared" si="66"/>
        <v>-0.92387953251129307</v>
      </c>
      <c r="F301">
        <f t="shared" si="67"/>
        <v>-0.99144486137380838</v>
      </c>
      <c r="G301">
        <f t="shared" si="68"/>
        <v>0.91597561503675784</v>
      </c>
      <c r="H301">
        <f t="shared" si="69"/>
        <v>-30274</v>
      </c>
      <c r="I301">
        <f t="shared" si="70"/>
        <v>-30274</v>
      </c>
      <c r="J301">
        <f t="shared" si="71"/>
        <v>-32488</v>
      </c>
      <c r="K301">
        <f t="shared" si="72"/>
        <v>916515076</v>
      </c>
      <c r="L301">
        <f t="shared" si="73"/>
        <v>1055470144</v>
      </c>
      <c r="M301">
        <f t="shared" si="74"/>
        <v>30015</v>
      </c>
      <c r="P301">
        <f t="shared" si="75"/>
        <v>14188</v>
      </c>
    </row>
    <row r="302" spans="1:16" x14ac:dyDescent="0.25">
      <c r="A302">
        <f t="shared" si="76"/>
        <v>296</v>
      </c>
      <c r="B302">
        <f t="shared" si="77"/>
        <v>7.4000000000000052E-2</v>
      </c>
      <c r="C302">
        <f t="shared" si="64"/>
        <v>-0.95105651629515875</v>
      </c>
      <c r="D302">
        <f t="shared" si="65"/>
        <v>-0.97814760073380225</v>
      </c>
      <c r="E302">
        <f t="shared" si="66"/>
        <v>-0.95105651629515875</v>
      </c>
      <c r="F302">
        <f t="shared" si="67"/>
        <v>-0.97814760073380225</v>
      </c>
      <c r="G302">
        <f t="shared" si="68"/>
        <v>0.93027364957635783</v>
      </c>
      <c r="H302">
        <f t="shared" si="69"/>
        <v>-31164</v>
      </c>
      <c r="I302">
        <f t="shared" si="70"/>
        <v>-31165</v>
      </c>
      <c r="J302">
        <f t="shared" si="71"/>
        <v>-32052</v>
      </c>
      <c r="K302">
        <f t="shared" si="72"/>
        <v>971257225</v>
      </c>
      <c r="L302">
        <f t="shared" si="73"/>
        <v>1027330704</v>
      </c>
      <c r="M302">
        <f t="shared" si="74"/>
        <v>30484</v>
      </c>
      <c r="P302">
        <f t="shared" si="75"/>
        <v>14188</v>
      </c>
    </row>
    <row r="303" spans="1:16" x14ac:dyDescent="0.25">
      <c r="A303">
        <f t="shared" si="76"/>
        <v>297</v>
      </c>
      <c r="B303">
        <f t="shared" si="77"/>
        <v>7.4250000000000052E-2</v>
      </c>
      <c r="C303">
        <f t="shared" si="64"/>
        <v>-0.97236992039768066</v>
      </c>
      <c r="D303">
        <f t="shared" si="65"/>
        <v>-0.95881973486818828</v>
      </c>
      <c r="E303">
        <f t="shared" si="66"/>
        <v>-0.97236992039768066</v>
      </c>
      <c r="F303">
        <f t="shared" si="67"/>
        <v>-0.95881973486818828</v>
      </c>
      <c r="G303">
        <f t="shared" si="68"/>
        <v>0.93232746926950549</v>
      </c>
      <c r="H303">
        <f t="shared" si="69"/>
        <v>-31863</v>
      </c>
      <c r="I303">
        <f t="shared" si="70"/>
        <v>-31863</v>
      </c>
      <c r="J303">
        <f t="shared" si="71"/>
        <v>-31419</v>
      </c>
      <c r="K303">
        <f t="shared" si="72"/>
        <v>1015250769</v>
      </c>
      <c r="L303">
        <f t="shared" si="73"/>
        <v>987153561</v>
      </c>
      <c r="M303">
        <f t="shared" si="74"/>
        <v>30551</v>
      </c>
      <c r="P303">
        <f t="shared" si="75"/>
        <v>14188</v>
      </c>
    </row>
    <row r="304" spans="1:16" x14ac:dyDescent="0.25">
      <c r="A304">
        <f t="shared" si="76"/>
        <v>298</v>
      </c>
      <c r="B304">
        <f t="shared" si="77"/>
        <v>7.4500000000000052E-2</v>
      </c>
      <c r="C304">
        <f t="shared" si="64"/>
        <v>-0.98768834059514055</v>
      </c>
      <c r="D304">
        <f t="shared" si="65"/>
        <v>-0.93358042649719564</v>
      </c>
      <c r="E304">
        <f t="shared" si="66"/>
        <v>-0.98768834059514055</v>
      </c>
      <c r="F304">
        <f t="shared" si="67"/>
        <v>-0.93358042649719564</v>
      </c>
      <c r="G304">
        <f t="shared" si="68"/>
        <v>0.9220865022591187</v>
      </c>
      <c r="H304">
        <f t="shared" si="69"/>
        <v>-32365</v>
      </c>
      <c r="I304">
        <f t="shared" si="70"/>
        <v>-32365</v>
      </c>
      <c r="J304">
        <f t="shared" si="71"/>
        <v>-30592</v>
      </c>
      <c r="K304">
        <f t="shared" si="72"/>
        <v>1047493225</v>
      </c>
      <c r="L304">
        <f t="shared" si="73"/>
        <v>935870464</v>
      </c>
      <c r="M304">
        <f t="shared" si="74"/>
        <v>30215</v>
      </c>
      <c r="P304">
        <f t="shared" si="75"/>
        <v>14188</v>
      </c>
    </row>
    <row r="305" spans="1:16" x14ac:dyDescent="0.25">
      <c r="A305">
        <f t="shared" si="76"/>
        <v>299</v>
      </c>
      <c r="B305">
        <f t="shared" si="77"/>
        <v>7.4750000000000053E-2</v>
      </c>
      <c r="C305">
        <f t="shared" si="64"/>
        <v>-0.99691733373312941</v>
      </c>
      <c r="D305">
        <f t="shared" si="65"/>
        <v>-0.90258528434985308</v>
      </c>
      <c r="E305">
        <f t="shared" si="66"/>
        <v>-0.99691733373312941</v>
      </c>
      <c r="F305">
        <f t="shared" si="67"/>
        <v>-0.90258528434985308</v>
      </c>
      <c r="G305">
        <f t="shared" si="68"/>
        <v>0.89980291514081401</v>
      </c>
      <c r="H305">
        <f t="shared" si="69"/>
        <v>-32667</v>
      </c>
      <c r="I305">
        <f t="shared" si="70"/>
        <v>-32667</v>
      </c>
      <c r="J305">
        <f t="shared" si="71"/>
        <v>-29576</v>
      </c>
      <c r="K305">
        <f t="shared" si="72"/>
        <v>1067132889</v>
      </c>
      <c r="L305">
        <f t="shared" si="73"/>
        <v>874739776</v>
      </c>
      <c r="M305">
        <f t="shared" si="74"/>
        <v>29484</v>
      </c>
      <c r="P305">
        <f t="shared" si="75"/>
        <v>14188</v>
      </c>
    </row>
    <row r="306" spans="1:16" x14ac:dyDescent="0.25">
      <c r="A306">
        <f t="shared" si="76"/>
        <v>300</v>
      </c>
      <c r="B306">
        <f t="shared" si="77"/>
        <v>7.5000000000000053E-2</v>
      </c>
      <c r="C306">
        <f t="shared" si="64"/>
        <v>-1</v>
      </c>
      <c r="D306">
        <f t="shared" si="65"/>
        <v>-0.86602540378443138</v>
      </c>
      <c r="E306">
        <f t="shared" si="66"/>
        <v>-1</v>
      </c>
      <c r="F306">
        <f t="shared" si="67"/>
        <v>-0.86602540378443138</v>
      </c>
      <c r="G306">
        <f t="shared" si="68"/>
        <v>0.86602540378443138</v>
      </c>
      <c r="H306">
        <f t="shared" si="69"/>
        <v>-32768</v>
      </c>
      <c r="I306">
        <f t="shared" si="70"/>
        <v>-32768</v>
      </c>
      <c r="J306">
        <f t="shared" si="71"/>
        <v>-28378</v>
      </c>
      <c r="K306">
        <f t="shared" si="72"/>
        <v>1073741824</v>
      </c>
      <c r="L306">
        <f t="shared" si="73"/>
        <v>805310884</v>
      </c>
      <c r="M306">
        <f t="shared" si="74"/>
        <v>28378</v>
      </c>
      <c r="P306">
        <f t="shared" si="75"/>
        <v>14188</v>
      </c>
    </row>
    <row r="307" spans="1:16" x14ac:dyDescent="0.25">
      <c r="A307">
        <f t="shared" si="76"/>
        <v>301</v>
      </c>
      <c r="B307">
        <f t="shared" si="77"/>
        <v>7.5250000000000053E-2</v>
      </c>
      <c r="C307">
        <f t="shared" si="64"/>
        <v>-0.99691733373312674</v>
      </c>
      <c r="D307">
        <f t="shared" si="65"/>
        <v>-0.82412618862200726</v>
      </c>
      <c r="E307">
        <f t="shared" si="66"/>
        <v>-0.99691733373312674</v>
      </c>
      <c r="F307">
        <f t="shared" si="67"/>
        <v>-0.82412618862200726</v>
      </c>
      <c r="G307">
        <f t="shared" si="68"/>
        <v>0.82158568262069542</v>
      </c>
      <c r="H307">
        <f t="shared" si="69"/>
        <v>-32667</v>
      </c>
      <c r="I307">
        <f t="shared" si="70"/>
        <v>-32667</v>
      </c>
      <c r="J307">
        <f t="shared" si="71"/>
        <v>-27005</v>
      </c>
      <c r="K307">
        <f t="shared" si="72"/>
        <v>1067132889</v>
      </c>
      <c r="L307">
        <f t="shared" si="73"/>
        <v>729270025</v>
      </c>
      <c r="M307">
        <f t="shared" si="74"/>
        <v>26921</v>
      </c>
      <c r="P307">
        <f t="shared" si="75"/>
        <v>14188</v>
      </c>
    </row>
    <row r="308" spans="1:16" x14ac:dyDescent="0.25">
      <c r="A308">
        <f t="shared" si="76"/>
        <v>302</v>
      </c>
      <c r="B308">
        <f t="shared" si="77"/>
        <v>7.5500000000000053E-2</v>
      </c>
      <c r="C308">
        <f t="shared" si="64"/>
        <v>-0.98768834059513522</v>
      </c>
      <c r="D308">
        <f t="shared" si="65"/>
        <v>-0.77714596145696124</v>
      </c>
      <c r="E308">
        <f t="shared" si="66"/>
        <v>-0.98768834059513522</v>
      </c>
      <c r="F308">
        <f t="shared" si="67"/>
        <v>-0.77714596145696124</v>
      </c>
      <c r="G308">
        <f t="shared" si="68"/>
        <v>0.76757800507163698</v>
      </c>
      <c r="H308">
        <f t="shared" si="69"/>
        <v>-32365</v>
      </c>
      <c r="I308">
        <f t="shared" si="70"/>
        <v>-32365</v>
      </c>
      <c r="J308">
        <f t="shared" si="71"/>
        <v>-25466</v>
      </c>
      <c r="K308">
        <f t="shared" si="72"/>
        <v>1047493225</v>
      </c>
      <c r="L308">
        <f t="shared" si="73"/>
        <v>648517156</v>
      </c>
      <c r="M308">
        <f t="shared" si="74"/>
        <v>25152</v>
      </c>
      <c r="P308">
        <f t="shared" si="75"/>
        <v>14188</v>
      </c>
    </row>
    <row r="309" spans="1:16" x14ac:dyDescent="0.25">
      <c r="A309">
        <f t="shared" si="76"/>
        <v>303</v>
      </c>
      <c r="B309">
        <f t="shared" si="77"/>
        <v>7.5750000000000053E-2</v>
      </c>
      <c r="C309">
        <f t="shared" si="64"/>
        <v>-0.97236992039767278</v>
      </c>
      <c r="D309">
        <f t="shared" si="65"/>
        <v>-0.72537437101227675</v>
      </c>
      <c r="E309">
        <f t="shared" si="66"/>
        <v>-0.97236992039767278</v>
      </c>
      <c r="F309">
        <f t="shared" si="67"/>
        <v>-0.72537437101227675</v>
      </c>
      <c r="G309">
        <f t="shared" si="68"/>
        <v>0.70533221939971946</v>
      </c>
      <c r="H309">
        <f t="shared" si="69"/>
        <v>-31863</v>
      </c>
      <c r="I309">
        <f t="shared" si="70"/>
        <v>-31863</v>
      </c>
      <c r="J309">
        <f t="shared" si="71"/>
        <v>-23770</v>
      </c>
      <c r="K309">
        <f t="shared" si="72"/>
        <v>1015250769</v>
      </c>
      <c r="L309">
        <f t="shared" si="73"/>
        <v>565012900</v>
      </c>
      <c r="M309">
        <f t="shared" si="74"/>
        <v>23113</v>
      </c>
      <c r="P309">
        <f t="shared" si="75"/>
        <v>14188</v>
      </c>
    </row>
    <row r="310" spans="1:16" x14ac:dyDescent="0.25">
      <c r="A310">
        <f t="shared" si="76"/>
        <v>304</v>
      </c>
      <c r="B310">
        <f t="shared" si="77"/>
        <v>7.6000000000000054E-2</v>
      </c>
      <c r="C310">
        <f t="shared" si="64"/>
        <v>-0.95105651629514842</v>
      </c>
      <c r="D310">
        <f t="shared" si="65"/>
        <v>-0.66913060635884614</v>
      </c>
      <c r="E310">
        <f t="shared" si="66"/>
        <v>-0.95105651629514842</v>
      </c>
      <c r="F310">
        <f t="shared" si="67"/>
        <v>-0.66913060635884614</v>
      </c>
      <c r="G310">
        <f t="shared" si="68"/>
        <v>0.6363810234301045</v>
      </c>
      <c r="H310">
        <f t="shared" si="69"/>
        <v>-31164</v>
      </c>
      <c r="I310">
        <f t="shared" si="70"/>
        <v>-31165</v>
      </c>
      <c r="J310">
        <f t="shared" si="71"/>
        <v>-21927</v>
      </c>
      <c r="K310">
        <f t="shared" si="72"/>
        <v>971257225</v>
      </c>
      <c r="L310">
        <f t="shared" si="73"/>
        <v>480793329</v>
      </c>
      <c r="M310">
        <f t="shared" si="74"/>
        <v>20854</v>
      </c>
      <c r="P310">
        <f t="shared" si="75"/>
        <v>14188</v>
      </c>
    </row>
    <row r="311" spans="1:16" x14ac:dyDescent="0.25">
      <c r="A311">
        <f t="shared" si="76"/>
        <v>305</v>
      </c>
      <c r="B311">
        <f t="shared" si="77"/>
        <v>7.6250000000000054E-2</v>
      </c>
      <c r="C311">
        <f t="shared" si="64"/>
        <v>-0.92387953251128019</v>
      </c>
      <c r="D311">
        <f t="shared" si="65"/>
        <v>-0.60876142900870744</v>
      </c>
      <c r="E311">
        <f t="shared" si="66"/>
        <v>-0.92387953251128019</v>
      </c>
      <c r="F311">
        <f t="shared" si="67"/>
        <v>-0.60876142900870744</v>
      </c>
      <c r="G311">
        <f t="shared" si="68"/>
        <v>0.56242222444346357</v>
      </c>
      <c r="H311">
        <f t="shared" si="69"/>
        <v>-30274</v>
      </c>
      <c r="I311">
        <f t="shared" si="70"/>
        <v>-30274</v>
      </c>
      <c r="J311">
        <f t="shared" si="71"/>
        <v>-19948</v>
      </c>
      <c r="K311">
        <f t="shared" si="72"/>
        <v>916515076</v>
      </c>
      <c r="L311">
        <f t="shared" si="73"/>
        <v>397922704</v>
      </c>
      <c r="M311">
        <f t="shared" si="74"/>
        <v>18429</v>
      </c>
      <c r="P311">
        <f t="shared" si="75"/>
        <v>14188</v>
      </c>
    </row>
    <row r="312" spans="1:16" x14ac:dyDescent="0.25">
      <c r="A312">
        <f t="shared" si="76"/>
        <v>306</v>
      </c>
      <c r="B312">
        <f t="shared" si="77"/>
        <v>7.6500000000000054E-2</v>
      </c>
      <c r="C312">
        <f t="shared" si="64"/>
        <v>-0.89100652418835979</v>
      </c>
      <c r="D312">
        <f t="shared" si="65"/>
        <v>-0.54463903501501276</v>
      </c>
      <c r="E312">
        <f t="shared" si="66"/>
        <v>-0.89100652418835979</v>
      </c>
      <c r="F312">
        <f t="shared" si="67"/>
        <v>-0.54463903501501276</v>
      </c>
      <c r="G312">
        <f t="shared" si="68"/>
        <v>0.48527693352602891</v>
      </c>
      <c r="H312">
        <f t="shared" si="69"/>
        <v>-29197</v>
      </c>
      <c r="I312">
        <f t="shared" si="70"/>
        <v>-29197</v>
      </c>
      <c r="J312">
        <f t="shared" si="71"/>
        <v>-17847</v>
      </c>
      <c r="K312">
        <f t="shared" si="72"/>
        <v>852464809</v>
      </c>
      <c r="L312">
        <f t="shared" si="73"/>
        <v>318515409</v>
      </c>
      <c r="M312">
        <f t="shared" si="74"/>
        <v>15902</v>
      </c>
      <c r="P312">
        <f t="shared" si="75"/>
        <v>14188</v>
      </c>
    </row>
    <row r="313" spans="1:16" x14ac:dyDescent="0.25">
      <c r="A313">
        <f t="shared" si="76"/>
        <v>307</v>
      </c>
      <c r="B313">
        <f t="shared" si="77"/>
        <v>7.6750000000000054E-2</v>
      </c>
      <c r="C313">
        <f t="shared" si="64"/>
        <v>-0.85264016435408274</v>
      </c>
      <c r="D313">
        <f t="shared" si="65"/>
        <v>-0.47715876025959297</v>
      </c>
      <c r="E313">
        <f t="shared" si="66"/>
        <v>-0.85264016435408274</v>
      </c>
      <c r="F313">
        <f t="shared" si="67"/>
        <v>-0.47715876025959297</v>
      </c>
      <c r="G313">
        <f t="shared" si="68"/>
        <v>0.40684472377072972</v>
      </c>
      <c r="H313">
        <f t="shared" si="69"/>
        <v>-27939</v>
      </c>
      <c r="I313">
        <f t="shared" si="70"/>
        <v>-27940</v>
      </c>
      <c r="J313">
        <f t="shared" si="71"/>
        <v>-15636</v>
      </c>
      <c r="K313">
        <f t="shared" si="72"/>
        <v>780643600</v>
      </c>
      <c r="L313">
        <f t="shared" si="73"/>
        <v>244484496</v>
      </c>
      <c r="M313">
        <f t="shared" si="74"/>
        <v>13332</v>
      </c>
      <c r="P313">
        <f t="shared" si="75"/>
        <v>14188</v>
      </c>
    </row>
    <row r="314" spans="1:16" x14ac:dyDescent="0.25">
      <c r="A314">
        <f t="shared" si="76"/>
        <v>308</v>
      </c>
      <c r="B314">
        <f t="shared" si="77"/>
        <v>7.7000000000000055E-2</v>
      </c>
      <c r="C314">
        <f t="shared" si="64"/>
        <v>-0.80901699437493646</v>
      </c>
      <c r="D314">
        <f t="shared" si="65"/>
        <v>-0.40673664307578378</v>
      </c>
      <c r="E314">
        <f t="shared" si="66"/>
        <v>-0.80901699437493646</v>
      </c>
      <c r="F314">
        <f t="shared" si="67"/>
        <v>-0.40673664307578378</v>
      </c>
      <c r="G314">
        <f t="shared" si="68"/>
        <v>0.32905685648332189</v>
      </c>
      <c r="H314">
        <f t="shared" si="69"/>
        <v>-26510</v>
      </c>
      <c r="I314">
        <f t="shared" si="70"/>
        <v>-26510</v>
      </c>
      <c r="J314">
        <f t="shared" si="71"/>
        <v>-13328</v>
      </c>
      <c r="K314">
        <f t="shared" si="72"/>
        <v>702780100</v>
      </c>
      <c r="L314">
        <f t="shared" si="73"/>
        <v>177635584</v>
      </c>
      <c r="M314">
        <f t="shared" si="74"/>
        <v>10782</v>
      </c>
      <c r="P314">
        <f t="shared" si="75"/>
        <v>14188</v>
      </c>
    </row>
    <row r="315" spans="1:16" x14ac:dyDescent="0.25">
      <c r="A315">
        <f t="shared" si="76"/>
        <v>309</v>
      </c>
      <c r="B315">
        <f t="shared" si="77"/>
        <v>7.7250000000000055E-2</v>
      </c>
      <c r="C315">
        <f t="shared" si="64"/>
        <v>-0.76040596560001861</v>
      </c>
      <c r="D315">
        <f t="shared" si="65"/>
        <v>-0.33380685923375358</v>
      </c>
      <c r="E315">
        <f t="shared" si="66"/>
        <v>-0.76040596560001861</v>
      </c>
      <c r="F315">
        <f t="shared" si="67"/>
        <v>-0.33380685923375358</v>
      </c>
      <c r="G315">
        <f t="shared" si="68"/>
        <v>0.2538287271195519</v>
      </c>
      <c r="H315">
        <f t="shared" si="69"/>
        <v>-24917</v>
      </c>
      <c r="I315">
        <f t="shared" si="70"/>
        <v>-24917</v>
      </c>
      <c r="J315">
        <f t="shared" si="71"/>
        <v>-10939</v>
      </c>
      <c r="K315">
        <f t="shared" si="72"/>
        <v>620856889</v>
      </c>
      <c r="L315">
        <f t="shared" si="73"/>
        <v>119661721</v>
      </c>
      <c r="M315">
        <f t="shared" si="74"/>
        <v>8318</v>
      </c>
      <c r="P315">
        <f t="shared" si="75"/>
        <v>14188</v>
      </c>
    </row>
    <row r="316" spans="1:16" x14ac:dyDescent="0.25">
      <c r="A316">
        <f t="shared" si="76"/>
        <v>310</v>
      </c>
      <c r="B316">
        <f t="shared" si="77"/>
        <v>7.7500000000000055E-2</v>
      </c>
      <c r="C316">
        <f t="shared" si="64"/>
        <v>-0.70710678118653625</v>
      </c>
      <c r="D316">
        <f t="shared" si="65"/>
        <v>-0.25881904510250597</v>
      </c>
      <c r="E316">
        <f t="shared" si="66"/>
        <v>-0.70710678118653625</v>
      </c>
      <c r="F316">
        <f t="shared" si="67"/>
        <v>-0.25881904510250597</v>
      </c>
      <c r="G316">
        <f t="shared" si="68"/>
        <v>0.18301270189220595</v>
      </c>
      <c r="H316">
        <f t="shared" si="69"/>
        <v>-23170</v>
      </c>
      <c r="I316">
        <f t="shared" si="70"/>
        <v>-23171</v>
      </c>
      <c r="J316">
        <f t="shared" si="71"/>
        <v>-8481</v>
      </c>
      <c r="K316">
        <f t="shared" si="72"/>
        <v>536895241</v>
      </c>
      <c r="L316">
        <f t="shared" si="73"/>
        <v>71927361</v>
      </c>
      <c r="M316">
        <f t="shared" si="74"/>
        <v>5997</v>
      </c>
      <c r="P316">
        <f t="shared" si="75"/>
        <v>14188</v>
      </c>
    </row>
    <row r="317" spans="1:16" x14ac:dyDescent="0.25">
      <c r="A317">
        <f t="shared" si="76"/>
        <v>311</v>
      </c>
      <c r="B317">
        <f t="shared" si="77"/>
        <v>7.7750000000000055E-2</v>
      </c>
      <c r="C317">
        <f t="shared" si="64"/>
        <v>-0.64944804833017122</v>
      </c>
      <c r="D317">
        <f t="shared" si="65"/>
        <v>-0.18223552549213196</v>
      </c>
      <c r="E317">
        <f t="shared" si="66"/>
        <v>-0.64944804833017122</v>
      </c>
      <c r="F317">
        <f t="shared" si="67"/>
        <v>-0.18223552549213196</v>
      </c>
      <c r="G317">
        <f t="shared" si="68"/>
        <v>0.11835250636728827</v>
      </c>
      <c r="H317">
        <f t="shared" si="69"/>
        <v>-21281</v>
      </c>
      <c r="I317">
        <f t="shared" si="70"/>
        <v>-21282</v>
      </c>
      <c r="J317">
        <f t="shared" si="71"/>
        <v>-5972</v>
      </c>
      <c r="K317">
        <f t="shared" si="72"/>
        <v>452923524</v>
      </c>
      <c r="L317">
        <f t="shared" si="73"/>
        <v>35664784</v>
      </c>
      <c r="M317">
        <f t="shared" si="74"/>
        <v>3878</v>
      </c>
      <c r="P317">
        <f t="shared" si="75"/>
        <v>14188</v>
      </c>
    </row>
    <row r="318" spans="1:16" x14ac:dyDescent="0.25">
      <c r="A318">
        <f t="shared" si="76"/>
        <v>312</v>
      </c>
      <c r="B318">
        <f t="shared" si="77"/>
        <v>7.8000000000000055E-2</v>
      </c>
      <c r="C318">
        <f t="shared" si="64"/>
        <v>-0.58778525229245948</v>
      </c>
      <c r="D318">
        <f t="shared" si="65"/>
        <v>-0.10452846326763736</v>
      </c>
      <c r="E318">
        <f t="shared" si="66"/>
        <v>-0.58778525229245948</v>
      </c>
      <c r="F318">
        <f t="shared" si="67"/>
        <v>-0.10452846326763736</v>
      </c>
      <c r="G318">
        <f t="shared" si="68"/>
        <v>6.144028915351131E-2</v>
      </c>
      <c r="H318">
        <f t="shared" si="69"/>
        <v>-19261</v>
      </c>
      <c r="I318">
        <f t="shared" si="70"/>
        <v>-19261</v>
      </c>
      <c r="J318">
        <f t="shared" si="71"/>
        <v>-3426</v>
      </c>
      <c r="K318">
        <f t="shared" si="72"/>
        <v>370986121</v>
      </c>
      <c r="L318">
        <f t="shared" si="73"/>
        <v>11737476</v>
      </c>
      <c r="M318">
        <f t="shared" si="74"/>
        <v>2013</v>
      </c>
      <c r="P318">
        <f t="shared" si="75"/>
        <v>14188</v>
      </c>
    </row>
    <row r="319" spans="1:16" x14ac:dyDescent="0.25">
      <c r="A319">
        <f t="shared" si="76"/>
        <v>313</v>
      </c>
      <c r="B319">
        <f t="shared" si="77"/>
        <v>7.8250000000000056E-2</v>
      </c>
      <c r="C319">
        <f t="shared" si="64"/>
        <v>-0.52249856471593414</v>
      </c>
      <c r="D319">
        <f t="shared" si="65"/>
        <v>-2.6176948307856523E-2</v>
      </c>
      <c r="E319">
        <f t="shared" si="66"/>
        <v>-0.52249856471593414</v>
      </c>
      <c r="F319">
        <f t="shared" si="67"/>
        <v>-2.6176948307856523E-2</v>
      </c>
      <c r="G319">
        <f t="shared" si="68"/>
        <v>1.3677417919498235E-2</v>
      </c>
      <c r="H319">
        <f t="shared" si="69"/>
        <v>-17121</v>
      </c>
      <c r="I319">
        <f t="shared" si="70"/>
        <v>-17122</v>
      </c>
      <c r="J319">
        <f t="shared" si="71"/>
        <v>-858</v>
      </c>
      <c r="K319">
        <f t="shared" si="72"/>
        <v>293162884</v>
      </c>
      <c r="L319">
        <f t="shared" si="73"/>
        <v>736164</v>
      </c>
      <c r="M319">
        <f t="shared" si="74"/>
        <v>448</v>
      </c>
      <c r="P319">
        <f t="shared" si="75"/>
        <v>14188</v>
      </c>
    </row>
    <row r="320" spans="1:16" x14ac:dyDescent="0.25">
      <c r="A320">
        <f t="shared" si="76"/>
        <v>314</v>
      </c>
      <c r="B320">
        <f t="shared" si="77"/>
        <v>7.8500000000000056E-2</v>
      </c>
      <c r="C320">
        <f t="shared" si="64"/>
        <v>-0.45399049973953104</v>
      </c>
      <c r="D320">
        <f t="shared" si="65"/>
        <v>5.2335956242960883E-2</v>
      </c>
      <c r="E320">
        <f t="shared" si="66"/>
        <v>-0.45399049973953104</v>
      </c>
      <c r="F320">
        <f t="shared" si="67"/>
        <v>5.2335956242960883E-2</v>
      </c>
      <c r="G320">
        <f t="shared" si="68"/>
        <v>-2.3760026929088039E-2</v>
      </c>
      <c r="H320">
        <f t="shared" si="69"/>
        <v>-14876</v>
      </c>
      <c r="I320">
        <f t="shared" si="70"/>
        <v>-14877</v>
      </c>
      <c r="J320">
        <f t="shared" si="71"/>
        <v>1714</v>
      </c>
      <c r="K320">
        <f t="shared" si="72"/>
        <v>221325129</v>
      </c>
      <c r="L320">
        <f t="shared" si="73"/>
        <v>2937796</v>
      </c>
      <c r="M320">
        <f t="shared" si="74"/>
        <v>-779</v>
      </c>
      <c r="P320">
        <f t="shared" si="75"/>
        <v>14188</v>
      </c>
    </row>
    <row r="321" spans="1:16" x14ac:dyDescent="0.25">
      <c r="A321">
        <f t="shared" si="76"/>
        <v>315</v>
      </c>
      <c r="B321">
        <f t="shared" si="77"/>
        <v>7.8750000000000056E-2</v>
      </c>
      <c r="C321">
        <f t="shared" si="64"/>
        <v>-0.38268343236507302</v>
      </c>
      <c r="D321">
        <f t="shared" si="65"/>
        <v>0.13052619222006895</v>
      </c>
      <c r="E321">
        <f t="shared" si="66"/>
        <v>-0.38268343236507302</v>
      </c>
      <c r="F321">
        <f t="shared" si="67"/>
        <v>0.13052619222006895</v>
      </c>
      <c r="G321">
        <f t="shared" si="68"/>
        <v>-4.9950211252319278E-2</v>
      </c>
      <c r="H321">
        <f t="shared" si="69"/>
        <v>-12540</v>
      </c>
      <c r="I321">
        <f t="shared" si="70"/>
        <v>-12540</v>
      </c>
      <c r="J321">
        <f t="shared" si="71"/>
        <v>4276</v>
      </c>
      <c r="K321">
        <f t="shared" si="72"/>
        <v>157251600</v>
      </c>
      <c r="L321">
        <f t="shared" si="73"/>
        <v>18284176</v>
      </c>
      <c r="M321">
        <f t="shared" si="74"/>
        <v>-1637</v>
      </c>
      <c r="P321">
        <f t="shared" si="75"/>
        <v>14188</v>
      </c>
    </row>
    <row r="322" spans="1:16" x14ac:dyDescent="0.25">
      <c r="A322">
        <f t="shared" si="76"/>
        <v>316</v>
      </c>
      <c r="B322">
        <f t="shared" si="77"/>
        <v>7.9000000000000056E-2</v>
      </c>
      <c r="C322">
        <f t="shared" si="64"/>
        <v>-0.30901699437492974</v>
      </c>
      <c r="D322">
        <f t="shared" si="65"/>
        <v>0.20791169081777691</v>
      </c>
      <c r="E322">
        <f t="shared" si="66"/>
        <v>-0.30901699437492974</v>
      </c>
      <c r="F322">
        <f t="shared" si="67"/>
        <v>0.20791169081777691</v>
      </c>
      <c r="G322">
        <f t="shared" si="68"/>
        <v>-6.4248245791919095E-2</v>
      </c>
      <c r="H322">
        <f t="shared" si="69"/>
        <v>-10126</v>
      </c>
      <c r="I322">
        <f t="shared" si="70"/>
        <v>-10126</v>
      </c>
      <c r="J322">
        <f t="shared" si="71"/>
        <v>6812</v>
      </c>
      <c r="K322">
        <f t="shared" si="72"/>
        <v>102535876</v>
      </c>
      <c r="L322">
        <f t="shared" si="73"/>
        <v>46403344</v>
      </c>
      <c r="M322">
        <f t="shared" si="74"/>
        <v>-2106</v>
      </c>
      <c r="P322">
        <f t="shared" si="75"/>
        <v>14188</v>
      </c>
    </row>
    <row r="323" spans="1:16" x14ac:dyDescent="0.25">
      <c r="A323">
        <f t="shared" si="76"/>
        <v>317</v>
      </c>
      <c r="B323">
        <f t="shared" si="77"/>
        <v>7.9250000000000057E-2</v>
      </c>
      <c r="C323">
        <f t="shared" si="64"/>
        <v>-0.23344536385588693</v>
      </c>
      <c r="D323">
        <f t="shared" si="65"/>
        <v>0.28401534470394024</v>
      </c>
      <c r="E323">
        <f t="shared" si="66"/>
        <v>-0.23344536385588693</v>
      </c>
      <c r="F323">
        <f t="shared" si="67"/>
        <v>0.28401534470394024</v>
      </c>
      <c r="G323">
        <f t="shared" si="68"/>
        <v>-6.630206548506648E-2</v>
      </c>
      <c r="H323">
        <f t="shared" si="69"/>
        <v>-7650</v>
      </c>
      <c r="I323">
        <f t="shared" si="70"/>
        <v>-7650</v>
      </c>
      <c r="J323">
        <f t="shared" si="71"/>
        <v>9306</v>
      </c>
      <c r="K323">
        <f t="shared" si="72"/>
        <v>58522500</v>
      </c>
      <c r="L323">
        <f t="shared" si="73"/>
        <v>86601636</v>
      </c>
      <c r="M323">
        <f t="shared" si="74"/>
        <v>-2173</v>
      </c>
      <c r="P323">
        <f t="shared" si="75"/>
        <v>14188</v>
      </c>
    </row>
    <row r="324" spans="1:16" x14ac:dyDescent="0.25">
      <c r="A324">
        <f t="shared" si="76"/>
        <v>318</v>
      </c>
      <c r="B324">
        <f t="shared" si="77"/>
        <v>7.9500000000000057E-2</v>
      </c>
      <c r="C324">
        <f t="shared" si="64"/>
        <v>-0.15643446504021166</v>
      </c>
      <c r="D324">
        <f t="shared" si="65"/>
        <v>0.35836794954531787</v>
      </c>
      <c r="E324">
        <f t="shared" si="66"/>
        <v>-0.15643446504021166</v>
      </c>
      <c r="F324">
        <f t="shared" si="67"/>
        <v>0.35836794954531787</v>
      </c>
      <c r="G324">
        <f t="shared" si="68"/>
        <v>-5.6061098474679362E-2</v>
      </c>
      <c r="H324">
        <f t="shared" si="69"/>
        <v>-5126</v>
      </c>
      <c r="I324">
        <f t="shared" si="70"/>
        <v>-5127</v>
      </c>
      <c r="J324">
        <f t="shared" si="71"/>
        <v>11742</v>
      </c>
      <c r="K324">
        <f t="shared" si="72"/>
        <v>26286129</v>
      </c>
      <c r="L324">
        <f t="shared" si="73"/>
        <v>137874564</v>
      </c>
      <c r="M324">
        <f t="shared" si="74"/>
        <v>-1838</v>
      </c>
      <c r="P324">
        <f t="shared" si="75"/>
        <v>14188</v>
      </c>
    </row>
    <row r="325" spans="1:16" x14ac:dyDescent="0.25">
      <c r="A325">
        <f t="shared" si="76"/>
        <v>319</v>
      </c>
      <c r="B325">
        <f t="shared" si="77"/>
        <v>7.9750000000000057E-2</v>
      </c>
      <c r="C325">
        <f t="shared" si="64"/>
        <v>-7.8459095727828651E-2</v>
      </c>
      <c r="D325">
        <f t="shared" si="65"/>
        <v>0.43051109680830935</v>
      </c>
      <c r="E325">
        <f t="shared" si="66"/>
        <v>-7.8459095727828651E-2</v>
      </c>
      <c r="F325">
        <f t="shared" si="67"/>
        <v>0.43051109680830935</v>
      </c>
      <c r="G325">
        <f t="shared" si="68"/>
        <v>-3.3777511356375647E-2</v>
      </c>
      <c r="H325">
        <f t="shared" si="69"/>
        <v>-2571</v>
      </c>
      <c r="I325">
        <f t="shared" si="70"/>
        <v>-2571</v>
      </c>
      <c r="J325">
        <f t="shared" si="71"/>
        <v>14106</v>
      </c>
      <c r="K325">
        <f t="shared" si="72"/>
        <v>6610041</v>
      </c>
      <c r="L325">
        <f t="shared" si="73"/>
        <v>198979236</v>
      </c>
      <c r="M325">
        <f t="shared" si="74"/>
        <v>-1107</v>
      </c>
      <c r="P325">
        <f t="shared" si="75"/>
        <v>14188</v>
      </c>
    </row>
    <row r="326" spans="1:16" x14ac:dyDescent="0.25">
      <c r="A326">
        <f t="shared" si="76"/>
        <v>320</v>
      </c>
      <c r="B326">
        <f t="shared" si="77"/>
        <v>8.0000000000000057E-2</v>
      </c>
      <c r="C326">
        <f t="shared" si="64"/>
        <v>1.6783449630075609E-14</v>
      </c>
      <c r="D326">
        <f t="shared" si="65"/>
        <v>0.50000000000001399</v>
      </c>
      <c r="E326">
        <f t="shared" si="66"/>
        <v>1.6783449630075609E-14</v>
      </c>
      <c r="F326">
        <f t="shared" si="67"/>
        <v>0.50000000000001399</v>
      </c>
      <c r="G326">
        <f t="shared" si="68"/>
        <v>8.3917248150380394E-15</v>
      </c>
      <c r="H326">
        <f t="shared" si="69"/>
        <v>0</v>
      </c>
      <c r="I326">
        <f t="shared" si="70"/>
        <v>0</v>
      </c>
      <c r="J326">
        <f t="shared" si="71"/>
        <v>16383</v>
      </c>
      <c r="K326">
        <f t="shared" si="72"/>
        <v>0</v>
      </c>
      <c r="L326">
        <f t="shared" si="73"/>
        <v>268402689</v>
      </c>
      <c r="M326">
        <f t="shared" si="74"/>
        <v>0</v>
      </c>
      <c r="P326">
        <f t="shared" si="75"/>
        <v>14188</v>
      </c>
    </row>
    <row r="327" spans="1:16" x14ac:dyDescent="0.25">
      <c r="A327">
        <f t="shared" si="76"/>
        <v>321</v>
      </c>
      <c r="B327">
        <f t="shared" si="77"/>
        <v>8.0250000000000057E-2</v>
      </c>
      <c r="C327">
        <f t="shared" ref="C327:C390" si="78">SIN(2*PI()*$C$4*B327)</f>
        <v>7.845909572786211E-2</v>
      </c>
      <c r="D327">
        <f t="shared" ref="D327:D390" si="79">SIN(2*PI()*$C$4*B327+$C$3*PI()/180)</f>
        <v>0.56640623692484648</v>
      </c>
      <c r="E327">
        <f t="shared" ref="E327:E390" si="80">C327*$C$1</f>
        <v>7.845909572786211E-2</v>
      </c>
      <c r="F327">
        <f t="shared" ref="F327:F390" si="81">D327*$C$2</f>
        <v>0.56640623692484648</v>
      </c>
      <c r="G327">
        <f t="shared" ref="G327:G390" si="82">E327*F327</f>
        <v>4.4439721163744679E-2</v>
      </c>
      <c r="H327">
        <f t="shared" ref="H327:H390" si="83">IF(C327&gt;0,ROUND(C327*$F$2,0),ROUND(C327*$F$1,0))</f>
        <v>2571</v>
      </c>
      <c r="I327">
        <f t="shared" ref="I327:I390" si="84">IF(E327&gt;0,_xlfn.FLOOR.MATH(E327*$F$2),_xlfn.FLOOR.MATH(E327*$F$1))</f>
        <v>2570</v>
      </c>
      <c r="J327">
        <f t="shared" ref="J327:J390" si="85">IF(F327&gt;0,_xlfn.FLOOR.MATH(F327*$F$2),_xlfn.FLOOR.MATH(F327*$F$1))</f>
        <v>18559</v>
      </c>
      <c r="K327">
        <f t="shared" ref="K327:K390" si="86">_xlfn.FLOOR.MATH(I327*I327)</f>
        <v>6604900</v>
      </c>
      <c r="L327">
        <f t="shared" ref="L327:L390" si="87">_xlfn.FLOOR.MATH(J327*J327)</f>
        <v>344436481</v>
      </c>
      <c r="M327">
        <f t="shared" ref="M327:M390" si="88">_xlfn.FLOOR.MATH((I327*J327)/$F$1)</f>
        <v>1455</v>
      </c>
      <c r="P327">
        <f t="shared" ref="P327:P390" si="89">_xlfn.FLOOR.MATH(SUM(M327:M406)/$F$3)</f>
        <v>14188</v>
      </c>
    </row>
    <row r="328" spans="1:16" x14ac:dyDescent="0.25">
      <c r="A328">
        <f t="shared" ref="A328:A391" si="90">A327+1</f>
        <v>322</v>
      </c>
      <c r="B328">
        <f t="shared" ref="B328:B391" si="91">B327+(1/4000)</f>
        <v>8.0500000000000058E-2</v>
      </c>
      <c r="C328">
        <f t="shared" si="78"/>
        <v>0.15643446504024833</v>
      </c>
      <c r="D328">
        <f t="shared" si="79"/>
        <v>0.62932039104985071</v>
      </c>
      <c r="E328">
        <f t="shared" si="80"/>
        <v>0.15643446504024833</v>
      </c>
      <c r="F328">
        <f t="shared" si="81"/>
        <v>0.62932039104985071</v>
      </c>
      <c r="G328">
        <f t="shared" si="82"/>
        <v>9.844739871280328E-2</v>
      </c>
      <c r="H328">
        <f t="shared" si="83"/>
        <v>5126</v>
      </c>
      <c r="I328">
        <f t="shared" si="84"/>
        <v>5125</v>
      </c>
      <c r="J328">
        <f t="shared" si="85"/>
        <v>20620</v>
      </c>
      <c r="K328">
        <f t="shared" si="86"/>
        <v>26265625</v>
      </c>
      <c r="L328">
        <f t="shared" si="87"/>
        <v>425184400</v>
      </c>
      <c r="M328">
        <f t="shared" si="88"/>
        <v>3225</v>
      </c>
      <c r="P328">
        <f t="shared" si="89"/>
        <v>14169</v>
      </c>
    </row>
    <row r="329" spans="1:16" x14ac:dyDescent="0.25">
      <c r="A329">
        <f t="shared" si="90"/>
        <v>323</v>
      </c>
      <c r="B329">
        <f t="shared" si="91"/>
        <v>8.0750000000000058E-2</v>
      </c>
      <c r="C329">
        <f t="shared" si="78"/>
        <v>0.23344536385592302</v>
      </c>
      <c r="D329">
        <f t="shared" si="79"/>
        <v>0.68835457569376668</v>
      </c>
      <c r="E329">
        <f t="shared" si="80"/>
        <v>0.23344536385592302</v>
      </c>
      <c r="F329">
        <f t="shared" si="81"/>
        <v>0.68835457569376668</v>
      </c>
      <c r="G329">
        <f t="shared" si="82"/>
        <v>0.16069318438472086</v>
      </c>
      <c r="H329">
        <f t="shared" si="83"/>
        <v>7649</v>
      </c>
      <c r="I329">
        <f t="shared" si="84"/>
        <v>7649</v>
      </c>
      <c r="J329">
        <f t="shared" si="85"/>
        <v>22555</v>
      </c>
      <c r="K329">
        <f t="shared" si="86"/>
        <v>58507201</v>
      </c>
      <c r="L329">
        <f t="shared" si="87"/>
        <v>508728025</v>
      </c>
      <c r="M329">
        <f t="shared" si="88"/>
        <v>5264</v>
      </c>
      <c r="P329">
        <f t="shared" si="89"/>
        <v>14129</v>
      </c>
    </row>
    <row r="330" spans="1:16" x14ac:dyDescent="0.25">
      <c r="A330">
        <f t="shared" si="90"/>
        <v>324</v>
      </c>
      <c r="B330">
        <f t="shared" si="91"/>
        <v>8.1000000000000058E-2</v>
      </c>
      <c r="C330">
        <f t="shared" si="78"/>
        <v>0.30901699437496505</v>
      </c>
      <c r="D330">
        <f t="shared" si="79"/>
        <v>0.74314482547740623</v>
      </c>
      <c r="E330">
        <f t="shared" si="80"/>
        <v>0.30901699437496505</v>
      </c>
      <c r="F330">
        <f t="shared" si="81"/>
        <v>0.74314482547740623</v>
      </c>
      <c r="G330">
        <f t="shared" si="82"/>
        <v>0.22964438035433601</v>
      </c>
      <c r="H330">
        <f t="shared" si="83"/>
        <v>10126</v>
      </c>
      <c r="I330">
        <f t="shared" si="84"/>
        <v>10125</v>
      </c>
      <c r="J330">
        <f t="shared" si="85"/>
        <v>24350</v>
      </c>
      <c r="K330">
        <f t="shared" si="86"/>
        <v>102515625</v>
      </c>
      <c r="L330">
        <f t="shared" si="87"/>
        <v>592922500</v>
      </c>
      <c r="M330">
        <f t="shared" si="88"/>
        <v>7523</v>
      </c>
      <c r="P330">
        <f t="shared" si="89"/>
        <v>14063</v>
      </c>
    </row>
    <row r="331" spans="1:16" x14ac:dyDescent="0.25">
      <c r="A331">
        <f t="shared" si="90"/>
        <v>325</v>
      </c>
      <c r="B331">
        <f t="shared" si="91"/>
        <v>8.1250000000000058E-2</v>
      </c>
      <c r="C331">
        <f t="shared" si="78"/>
        <v>0.38268343236510732</v>
      </c>
      <c r="D331">
        <f t="shared" si="79"/>
        <v>0.79335334029124638</v>
      </c>
      <c r="E331">
        <f t="shared" si="80"/>
        <v>0.38268343236510732</v>
      </c>
      <c r="F331">
        <f t="shared" si="81"/>
        <v>0.79335334029124638</v>
      </c>
      <c r="G331">
        <f t="shared" si="82"/>
        <v>0.30360317934097714</v>
      </c>
      <c r="H331">
        <f t="shared" si="83"/>
        <v>12539</v>
      </c>
      <c r="I331">
        <f t="shared" si="84"/>
        <v>12539</v>
      </c>
      <c r="J331">
        <f t="shared" si="85"/>
        <v>25995</v>
      </c>
      <c r="K331">
        <f t="shared" si="86"/>
        <v>157226521</v>
      </c>
      <c r="L331">
        <f t="shared" si="87"/>
        <v>675740025</v>
      </c>
      <c r="M331">
        <f t="shared" si="88"/>
        <v>9947</v>
      </c>
      <c r="P331">
        <f t="shared" si="89"/>
        <v>13969</v>
      </c>
    </row>
    <row r="332" spans="1:16" x14ac:dyDescent="0.25">
      <c r="A332">
        <f t="shared" si="90"/>
        <v>326</v>
      </c>
      <c r="B332">
        <f t="shared" si="91"/>
        <v>8.1500000000000059E-2</v>
      </c>
      <c r="C332">
        <f t="shared" si="78"/>
        <v>0.45399049973956412</v>
      </c>
      <c r="D332">
        <f t="shared" si="79"/>
        <v>0.83867056794543426</v>
      </c>
      <c r="E332">
        <f t="shared" si="80"/>
        <v>0.45399049973956412</v>
      </c>
      <c r="F332">
        <f t="shared" si="81"/>
        <v>0.83867056794543426</v>
      </c>
      <c r="G332">
        <f t="shared" si="82"/>
        <v>0.3807484702584118</v>
      </c>
      <c r="H332">
        <f t="shared" si="83"/>
        <v>14876</v>
      </c>
      <c r="I332">
        <f t="shared" si="84"/>
        <v>14875</v>
      </c>
      <c r="J332">
        <f t="shared" si="85"/>
        <v>27480</v>
      </c>
      <c r="K332">
        <f t="shared" si="86"/>
        <v>221265625</v>
      </c>
      <c r="L332">
        <f t="shared" si="87"/>
        <v>755150400</v>
      </c>
      <c r="M332">
        <f t="shared" si="88"/>
        <v>12474</v>
      </c>
      <c r="P332">
        <f t="shared" si="89"/>
        <v>13845</v>
      </c>
    </row>
    <row r="333" spans="1:16" x14ac:dyDescent="0.25">
      <c r="A333">
        <f t="shared" si="90"/>
        <v>327</v>
      </c>
      <c r="B333">
        <f t="shared" si="91"/>
        <v>8.1750000000000059E-2</v>
      </c>
      <c r="C333">
        <f t="shared" si="78"/>
        <v>0.52249856471596579</v>
      </c>
      <c r="D333">
        <f t="shared" si="79"/>
        <v>0.8788171126619746</v>
      </c>
      <c r="E333">
        <f t="shared" si="80"/>
        <v>0.52249856471596579</v>
      </c>
      <c r="F333">
        <f t="shared" si="81"/>
        <v>0.8788171126619746</v>
      </c>
      <c r="G333">
        <f t="shared" si="82"/>
        <v>0.45918068001371093</v>
      </c>
      <c r="H333">
        <f t="shared" si="83"/>
        <v>17121</v>
      </c>
      <c r="I333">
        <f t="shared" si="84"/>
        <v>17120</v>
      </c>
      <c r="J333">
        <f t="shared" si="85"/>
        <v>28796</v>
      </c>
      <c r="K333">
        <f t="shared" si="86"/>
        <v>293094400</v>
      </c>
      <c r="L333">
        <f t="shared" si="87"/>
        <v>829209616</v>
      </c>
      <c r="M333">
        <f t="shared" si="88"/>
        <v>15044</v>
      </c>
      <c r="P333">
        <f t="shared" si="89"/>
        <v>13689</v>
      </c>
    </row>
    <row r="334" spans="1:16" x14ac:dyDescent="0.25">
      <c r="A334">
        <f t="shared" si="90"/>
        <v>328</v>
      </c>
      <c r="B334">
        <f t="shared" si="91"/>
        <v>8.2000000000000059E-2</v>
      </c>
      <c r="C334">
        <f t="shared" si="78"/>
        <v>0.58778525229248957</v>
      </c>
      <c r="D334">
        <f t="shared" si="79"/>
        <v>0.91354545764260886</v>
      </c>
      <c r="E334">
        <f t="shared" si="80"/>
        <v>0.58778525229248957</v>
      </c>
      <c r="F334">
        <f t="shared" si="81"/>
        <v>0.91354545764260886</v>
      </c>
      <c r="G334">
        <f t="shared" si="82"/>
        <v>0.53696854730111865</v>
      </c>
      <c r="H334">
        <f t="shared" si="83"/>
        <v>19260</v>
      </c>
      <c r="I334">
        <f t="shared" si="84"/>
        <v>19259</v>
      </c>
      <c r="J334">
        <f t="shared" si="85"/>
        <v>29934</v>
      </c>
      <c r="K334">
        <f t="shared" si="86"/>
        <v>370909081</v>
      </c>
      <c r="L334">
        <f t="shared" si="87"/>
        <v>896044356</v>
      </c>
      <c r="M334">
        <f t="shared" si="88"/>
        <v>17593</v>
      </c>
      <c r="P334">
        <f t="shared" si="89"/>
        <v>13501</v>
      </c>
    </row>
    <row r="335" spans="1:16" x14ac:dyDescent="0.25">
      <c r="A335">
        <f t="shared" si="90"/>
        <v>329</v>
      </c>
      <c r="B335">
        <f t="shared" si="91"/>
        <v>8.2250000000000059E-2</v>
      </c>
      <c r="C335">
        <f t="shared" si="78"/>
        <v>0.64944804833019676</v>
      </c>
      <c r="D335">
        <f t="shared" si="79"/>
        <v>0.94264149109218398</v>
      </c>
      <c r="E335">
        <f t="shared" si="80"/>
        <v>0.64944804833019676</v>
      </c>
      <c r="F335">
        <f t="shared" si="81"/>
        <v>0.94264149109218398</v>
      </c>
      <c r="G335">
        <f t="shared" si="82"/>
        <v>0.61219667666488542</v>
      </c>
      <c r="H335">
        <f t="shared" si="83"/>
        <v>21280</v>
      </c>
      <c r="I335">
        <f t="shared" si="84"/>
        <v>21280</v>
      </c>
      <c r="J335">
        <f t="shared" si="85"/>
        <v>30887</v>
      </c>
      <c r="K335">
        <f t="shared" si="86"/>
        <v>452838400</v>
      </c>
      <c r="L335">
        <f t="shared" si="87"/>
        <v>954006769</v>
      </c>
      <c r="M335">
        <f t="shared" si="88"/>
        <v>20058</v>
      </c>
      <c r="P335">
        <f t="shared" si="89"/>
        <v>13281</v>
      </c>
    </row>
    <row r="336" spans="1:16" x14ac:dyDescent="0.25">
      <c r="A336">
        <f t="shared" si="90"/>
        <v>330</v>
      </c>
      <c r="B336">
        <f t="shared" si="91"/>
        <v>8.2500000000000059E-2</v>
      </c>
      <c r="C336">
        <f t="shared" si="78"/>
        <v>0.70710678118656001</v>
      </c>
      <c r="D336">
        <f t="shared" si="79"/>
        <v>0.96592582628907264</v>
      </c>
      <c r="E336">
        <f t="shared" si="80"/>
        <v>0.70710678118656001</v>
      </c>
      <c r="F336">
        <f t="shared" si="81"/>
        <v>0.96592582628907264</v>
      </c>
      <c r="G336">
        <f t="shared" si="82"/>
        <v>0.68301270189223451</v>
      </c>
      <c r="H336">
        <f t="shared" si="83"/>
        <v>23170</v>
      </c>
      <c r="I336">
        <f t="shared" si="84"/>
        <v>23169</v>
      </c>
      <c r="J336">
        <f t="shared" si="85"/>
        <v>31650</v>
      </c>
      <c r="K336">
        <f t="shared" si="86"/>
        <v>536802561</v>
      </c>
      <c r="L336">
        <f t="shared" si="87"/>
        <v>1001722500</v>
      </c>
      <c r="M336">
        <f t="shared" si="88"/>
        <v>22378</v>
      </c>
      <c r="P336">
        <f t="shared" si="89"/>
        <v>13030</v>
      </c>
    </row>
    <row r="337" spans="1:16" x14ac:dyDescent="0.25">
      <c r="A337">
        <f t="shared" si="90"/>
        <v>331</v>
      </c>
      <c r="B337">
        <f t="shared" si="91"/>
        <v>8.275000000000006E-2</v>
      </c>
      <c r="C337">
        <f t="shared" si="78"/>
        <v>0.7604059656000427</v>
      </c>
      <c r="D337">
        <f t="shared" si="79"/>
        <v>0.98325490756395773</v>
      </c>
      <c r="E337">
        <f t="shared" si="80"/>
        <v>0.7604059656000427</v>
      </c>
      <c r="F337">
        <f t="shared" si="81"/>
        <v>0.98325490756395773</v>
      </c>
      <c r="G337">
        <f t="shared" si="82"/>
        <v>0.74767289741715204</v>
      </c>
      <c r="H337">
        <f t="shared" si="83"/>
        <v>24916</v>
      </c>
      <c r="I337">
        <f t="shared" si="84"/>
        <v>24916</v>
      </c>
      <c r="J337">
        <f t="shared" si="85"/>
        <v>32218</v>
      </c>
      <c r="K337">
        <f t="shared" si="86"/>
        <v>620807056</v>
      </c>
      <c r="L337">
        <f t="shared" si="87"/>
        <v>1037999524</v>
      </c>
      <c r="M337">
        <f t="shared" si="88"/>
        <v>24497</v>
      </c>
      <c r="P337">
        <f t="shared" si="89"/>
        <v>12751</v>
      </c>
    </row>
    <row r="338" spans="1:16" x14ac:dyDescent="0.25">
      <c r="A338">
        <f t="shared" si="90"/>
        <v>332</v>
      </c>
      <c r="B338">
        <f t="shared" si="91"/>
        <v>8.300000000000006E-2</v>
      </c>
      <c r="C338">
        <f t="shared" si="78"/>
        <v>0.80901699437495833</v>
      </c>
      <c r="D338">
        <f t="shared" si="79"/>
        <v>0.99452189536827518</v>
      </c>
      <c r="E338">
        <f t="shared" si="80"/>
        <v>0.80901699437495833</v>
      </c>
      <c r="F338">
        <f t="shared" si="81"/>
        <v>0.99452189536827518</v>
      </c>
      <c r="G338">
        <f t="shared" si="82"/>
        <v>0.80458511463092874</v>
      </c>
      <c r="H338">
        <f t="shared" si="83"/>
        <v>26509</v>
      </c>
      <c r="I338">
        <f t="shared" si="84"/>
        <v>26509</v>
      </c>
      <c r="J338">
        <f t="shared" si="85"/>
        <v>32587</v>
      </c>
      <c r="K338">
        <f t="shared" si="86"/>
        <v>702727081</v>
      </c>
      <c r="L338">
        <f t="shared" si="87"/>
        <v>1061912569</v>
      </c>
      <c r="M338">
        <f t="shared" si="88"/>
        <v>26362</v>
      </c>
      <c r="P338">
        <f t="shared" si="89"/>
        <v>12444</v>
      </c>
    </row>
    <row r="339" spans="1:16" x14ac:dyDescent="0.25">
      <c r="A339">
        <f t="shared" si="90"/>
        <v>333</v>
      </c>
      <c r="B339">
        <f t="shared" si="91"/>
        <v>8.325000000000006E-2</v>
      </c>
      <c r="C339">
        <f t="shared" si="78"/>
        <v>0.85264016435410217</v>
      </c>
      <c r="D339">
        <f t="shared" si="79"/>
        <v>0.99965732497555781</v>
      </c>
      <c r="E339">
        <f t="shared" si="80"/>
        <v>0.85264016435410217</v>
      </c>
      <c r="F339">
        <f t="shared" si="81"/>
        <v>0.99965732497555781</v>
      </c>
      <c r="G339">
        <f t="shared" si="82"/>
        <v>0.85234798586494176</v>
      </c>
      <c r="H339">
        <f t="shared" si="83"/>
        <v>27938</v>
      </c>
      <c r="I339">
        <f t="shared" si="84"/>
        <v>27938</v>
      </c>
      <c r="J339">
        <f t="shared" si="85"/>
        <v>32755</v>
      </c>
      <c r="K339">
        <f t="shared" si="86"/>
        <v>780531844</v>
      </c>
      <c r="L339">
        <f t="shared" si="87"/>
        <v>1072890025</v>
      </c>
      <c r="M339">
        <f t="shared" si="88"/>
        <v>27926</v>
      </c>
      <c r="P339">
        <f t="shared" si="89"/>
        <v>12115</v>
      </c>
    </row>
    <row r="340" spans="1:16" x14ac:dyDescent="0.25">
      <c r="A340">
        <f t="shared" si="90"/>
        <v>334</v>
      </c>
      <c r="B340">
        <f t="shared" si="91"/>
        <v>8.350000000000006E-2</v>
      </c>
      <c r="C340">
        <f t="shared" si="78"/>
        <v>0.89100652418837667</v>
      </c>
      <c r="D340">
        <f t="shared" si="79"/>
        <v>0.99862953475457295</v>
      </c>
      <c r="E340">
        <f t="shared" si="80"/>
        <v>0.89100652418837667</v>
      </c>
      <c r="F340">
        <f t="shared" si="81"/>
        <v>0.99862953475457295</v>
      </c>
      <c r="G340">
        <f t="shared" si="82"/>
        <v>0.88978543071352778</v>
      </c>
      <c r="H340">
        <f t="shared" si="83"/>
        <v>29196</v>
      </c>
      <c r="I340">
        <f t="shared" si="84"/>
        <v>29195</v>
      </c>
      <c r="J340">
        <f t="shared" si="85"/>
        <v>32722</v>
      </c>
      <c r="K340">
        <f t="shared" si="86"/>
        <v>852348025</v>
      </c>
      <c r="L340">
        <f t="shared" si="87"/>
        <v>1070729284</v>
      </c>
      <c r="M340">
        <f t="shared" si="88"/>
        <v>29154</v>
      </c>
      <c r="P340">
        <f t="shared" si="89"/>
        <v>11766</v>
      </c>
    </row>
    <row r="341" spans="1:16" x14ac:dyDescent="0.25">
      <c r="A341">
        <f t="shared" si="90"/>
        <v>335</v>
      </c>
      <c r="B341">
        <f t="shared" si="91"/>
        <v>8.3750000000000061E-2</v>
      </c>
      <c r="C341">
        <f t="shared" si="78"/>
        <v>0.9238795325112944</v>
      </c>
      <c r="D341">
        <f t="shared" si="79"/>
        <v>0.99144486137380794</v>
      </c>
      <c r="E341">
        <f t="shared" si="80"/>
        <v>0.9238795325112944</v>
      </c>
      <c r="F341">
        <f t="shared" si="81"/>
        <v>0.99144486137380794</v>
      </c>
      <c r="G341">
        <f t="shared" si="82"/>
        <v>0.91597561503675873</v>
      </c>
      <c r="H341">
        <f t="shared" si="83"/>
        <v>30273</v>
      </c>
      <c r="I341">
        <f t="shared" si="84"/>
        <v>30272</v>
      </c>
      <c r="J341">
        <f t="shared" si="85"/>
        <v>32486</v>
      </c>
      <c r="K341">
        <f t="shared" si="86"/>
        <v>916393984</v>
      </c>
      <c r="L341">
        <f t="shared" si="87"/>
        <v>1055340196</v>
      </c>
      <c r="M341">
        <f t="shared" si="88"/>
        <v>30011</v>
      </c>
      <c r="P341">
        <f t="shared" si="89"/>
        <v>11401</v>
      </c>
    </row>
    <row r="342" spans="1:16" x14ac:dyDescent="0.25">
      <c r="A342">
        <f t="shared" si="90"/>
        <v>336</v>
      </c>
      <c r="B342">
        <f t="shared" si="91"/>
        <v>8.4000000000000061E-2</v>
      </c>
      <c r="C342">
        <f t="shared" si="78"/>
        <v>0.95105651629515986</v>
      </c>
      <c r="D342">
        <f t="shared" si="79"/>
        <v>0.97814760073380158</v>
      </c>
      <c r="E342">
        <f t="shared" si="80"/>
        <v>0.95105651629515986</v>
      </c>
      <c r="F342">
        <f t="shared" si="81"/>
        <v>0.97814760073380158</v>
      </c>
      <c r="G342">
        <f t="shared" si="82"/>
        <v>0.93027364957635827</v>
      </c>
      <c r="H342">
        <f t="shared" si="83"/>
        <v>31163</v>
      </c>
      <c r="I342">
        <f t="shared" si="84"/>
        <v>31163</v>
      </c>
      <c r="J342">
        <f t="shared" si="85"/>
        <v>32050</v>
      </c>
      <c r="K342">
        <f t="shared" si="86"/>
        <v>971132569</v>
      </c>
      <c r="L342">
        <f t="shared" si="87"/>
        <v>1027202500</v>
      </c>
      <c r="M342">
        <f t="shared" si="88"/>
        <v>30480</v>
      </c>
      <c r="P342">
        <f t="shared" si="89"/>
        <v>11026</v>
      </c>
    </row>
    <row r="343" spans="1:16" x14ac:dyDescent="0.25">
      <c r="A343">
        <f t="shared" si="90"/>
        <v>337</v>
      </c>
      <c r="B343">
        <f t="shared" si="91"/>
        <v>8.4250000000000061E-2</v>
      </c>
      <c r="C343">
        <f t="shared" si="78"/>
        <v>0.97236992039768144</v>
      </c>
      <c r="D343">
        <f t="shared" si="79"/>
        <v>0.95881973486818739</v>
      </c>
      <c r="E343">
        <f t="shared" si="80"/>
        <v>0.97236992039768144</v>
      </c>
      <c r="F343">
        <f t="shared" si="81"/>
        <v>0.95881973486818739</v>
      </c>
      <c r="G343">
        <f t="shared" si="82"/>
        <v>0.93232746926950538</v>
      </c>
      <c r="H343">
        <f t="shared" si="83"/>
        <v>31862</v>
      </c>
      <c r="I343">
        <f t="shared" si="84"/>
        <v>31861</v>
      </c>
      <c r="J343">
        <f t="shared" si="85"/>
        <v>31417</v>
      </c>
      <c r="K343">
        <f t="shared" si="86"/>
        <v>1015123321</v>
      </c>
      <c r="L343">
        <f t="shared" si="87"/>
        <v>987027889</v>
      </c>
      <c r="M343">
        <f t="shared" si="88"/>
        <v>30547</v>
      </c>
      <c r="P343">
        <f t="shared" si="89"/>
        <v>10645</v>
      </c>
    </row>
    <row r="344" spans="1:16" x14ac:dyDescent="0.25">
      <c r="A344">
        <f t="shared" si="90"/>
        <v>338</v>
      </c>
      <c r="B344">
        <f t="shared" si="91"/>
        <v>8.4500000000000061E-2</v>
      </c>
      <c r="C344">
        <f t="shared" si="78"/>
        <v>0.98768834059514043</v>
      </c>
      <c r="D344">
        <f t="shared" si="79"/>
        <v>0.93358042649719564</v>
      </c>
      <c r="E344">
        <f t="shared" si="80"/>
        <v>0.98768834059514043</v>
      </c>
      <c r="F344">
        <f t="shared" si="81"/>
        <v>0.93358042649719564</v>
      </c>
      <c r="G344">
        <f t="shared" si="82"/>
        <v>0.92208650225911859</v>
      </c>
      <c r="H344">
        <f t="shared" si="83"/>
        <v>32364</v>
      </c>
      <c r="I344">
        <f t="shared" si="84"/>
        <v>32363</v>
      </c>
      <c r="J344">
        <f t="shared" si="85"/>
        <v>30590</v>
      </c>
      <c r="K344">
        <f t="shared" si="86"/>
        <v>1047363769</v>
      </c>
      <c r="L344">
        <f t="shared" si="87"/>
        <v>935748100</v>
      </c>
      <c r="M344">
        <f t="shared" si="88"/>
        <v>30211</v>
      </c>
      <c r="P344">
        <f t="shared" si="89"/>
        <v>10263</v>
      </c>
    </row>
    <row r="345" spans="1:16" x14ac:dyDescent="0.25">
      <c r="A345">
        <f t="shared" si="90"/>
        <v>339</v>
      </c>
      <c r="B345">
        <f t="shared" si="91"/>
        <v>8.4750000000000061E-2</v>
      </c>
      <c r="C345">
        <f t="shared" si="78"/>
        <v>0.99691733373312941</v>
      </c>
      <c r="D345">
        <f t="shared" si="79"/>
        <v>0.90258528434985308</v>
      </c>
      <c r="E345">
        <f t="shared" si="80"/>
        <v>0.99691733373312941</v>
      </c>
      <c r="F345">
        <f t="shared" si="81"/>
        <v>0.90258528434985308</v>
      </c>
      <c r="G345">
        <f t="shared" si="82"/>
        <v>0.89980291514081401</v>
      </c>
      <c r="H345">
        <f t="shared" si="83"/>
        <v>32666</v>
      </c>
      <c r="I345">
        <f t="shared" si="84"/>
        <v>32665</v>
      </c>
      <c r="J345">
        <f t="shared" si="85"/>
        <v>29575</v>
      </c>
      <c r="K345">
        <f t="shared" si="86"/>
        <v>1067002225</v>
      </c>
      <c r="L345">
        <f t="shared" si="87"/>
        <v>874680625</v>
      </c>
      <c r="M345">
        <f t="shared" si="88"/>
        <v>29482</v>
      </c>
      <c r="P345">
        <f t="shared" si="89"/>
        <v>9886</v>
      </c>
    </row>
    <row r="346" spans="1:16" x14ac:dyDescent="0.25">
      <c r="A346">
        <f t="shared" si="90"/>
        <v>340</v>
      </c>
      <c r="B346">
        <f t="shared" si="91"/>
        <v>8.5000000000000062E-2</v>
      </c>
      <c r="C346">
        <f t="shared" si="78"/>
        <v>1</v>
      </c>
      <c r="D346">
        <f t="shared" si="79"/>
        <v>0.86602540378442971</v>
      </c>
      <c r="E346">
        <f t="shared" si="80"/>
        <v>1</v>
      </c>
      <c r="F346">
        <f t="shared" si="81"/>
        <v>0.86602540378442971</v>
      </c>
      <c r="G346">
        <f t="shared" si="82"/>
        <v>0.86602540378442971</v>
      </c>
      <c r="H346">
        <f t="shared" si="83"/>
        <v>32767</v>
      </c>
      <c r="I346">
        <f t="shared" si="84"/>
        <v>32767</v>
      </c>
      <c r="J346">
        <f t="shared" si="85"/>
        <v>28377</v>
      </c>
      <c r="K346">
        <f t="shared" si="86"/>
        <v>1073676289</v>
      </c>
      <c r="L346">
        <f t="shared" si="87"/>
        <v>805254129</v>
      </c>
      <c r="M346">
        <f t="shared" si="88"/>
        <v>28376</v>
      </c>
      <c r="P346">
        <f t="shared" si="89"/>
        <v>9517</v>
      </c>
    </row>
    <row r="347" spans="1:16" x14ac:dyDescent="0.25">
      <c r="A347">
        <f t="shared" si="90"/>
        <v>341</v>
      </c>
      <c r="B347">
        <f t="shared" si="91"/>
        <v>8.5250000000000062E-2</v>
      </c>
      <c r="C347">
        <f t="shared" si="78"/>
        <v>0.99691733373312652</v>
      </c>
      <c r="D347">
        <f t="shared" si="79"/>
        <v>0.82412618862200526</v>
      </c>
      <c r="E347">
        <f t="shared" si="80"/>
        <v>0.99691733373312652</v>
      </c>
      <c r="F347">
        <f t="shared" si="81"/>
        <v>0.82412618862200526</v>
      </c>
      <c r="G347">
        <f t="shared" si="82"/>
        <v>0.8215856826206932</v>
      </c>
      <c r="H347">
        <f t="shared" si="83"/>
        <v>32666</v>
      </c>
      <c r="I347">
        <f t="shared" si="84"/>
        <v>32665</v>
      </c>
      <c r="J347">
        <f t="shared" si="85"/>
        <v>27004</v>
      </c>
      <c r="K347">
        <f t="shared" si="86"/>
        <v>1067002225</v>
      </c>
      <c r="L347">
        <f t="shared" si="87"/>
        <v>729216016</v>
      </c>
      <c r="M347">
        <f t="shared" si="88"/>
        <v>26919</v>
      </c>
      <c r="P347">
        <f t="shared" si="89"/>
        <v>9162</v>
      </c>
    </row>
    <row r="348" spans="1:16" x14ac:dyDescent="0.25">
      <c r="A348">
        <f t="shared" si="90"/>
        <v>342</v>
      </c>
      <c r="B348">
        <f t="shared" si="91"/>
        <v>8.5500000000000062E-2</v>
      </c>
      <c r="C348">
        <f t="shared" si="78"/>
        <v>0.98768834059513466</v>
      </c>
      <c r="D348">
        <f t="shared" si="79"/>
        <v>0.77714596145695902</v>
      </c>
      <c r="E348">
        <f t="shared" si="80"/>
        <v>0.98768834059513466</v>
      </c>
      <c r="F348">
        <f t="shared" si="81"/>
        <v>0.77714596145695902</v>
      </c>
      <c r="G348">
        <f t="shared" si="82"/>
        <v>0.76757800507163432</v>
      </c>
      <c r="H348">
        <f t="shared" si="83"/>
        <v>32364</v>
      </c>
      <c r="I348">
        <f t="shared" si="84"/>
        <v>32363</v>
      </c>
      <c r="J348">
        <f t="shared" si="85"/>
        <v>25464</v>
      </c>
      <c r="K348">
        <f t="shared" si="86"/>
        <v>1047363769</v>
      </c>
      <c r="L348">
        <f t="shared" si="87"/>
        <v>648415296</v>
      </c>
      <c r="M348">
        <f t="shared" si="88"/>
        <v>25149</v>
      </c>
      <c r="P348">
        <f t="shared" si="89"/>
        <v>8826</v>
      </c>
    </row>
    <row r="349" spans="1:16" x14ac:dyDescent="0.25">
      <c r="A349">
        <f t="shared" si="90"/>
        <v>343</v>
      </c>
      <c r="B349">
        <f t="shared" si="91"/>
        <v>8.5750000000000062E-2</v>
      </c>
      <c r="C349">
        <f t="shared" si="78"/>
        <v>0.97236992039767201</v>
      </c>
      <c r="D349">
        <f t="shared" si="79"/>
        <v>0.72537437101227442</v>
      </c>
      <c r="E349">
        <f t="shared" si="80"/>
        <v>0.97236992039767201</v>
      </c>
      <c r="F349">
        <f t="shared" si="81"/>
        <v>0.72537437101227442</v>
      </c>
      <c r="G349">
        <f t="shared" si="82"/>
        <v>0.70533221939971669</v>
      </c>
      <c r="H349">
        <f t="shared" si="83"/>
        <v>31862</v>
      </c>
      <c r="I349">
        <f t="shared" si="84"/>
        <v>31861</v>
      </c>
      <c r="J349">
        <f t="shared" si="85"/>
        <v>23768</v>
      </c>
      <c r="K349">
        <f t="shared" si="86"/>
        <v>1015123321</v>
      </c>
      <c r="L349">
        <f t="shared" si="87"/>
        <v>564917824</v>
      </c>
      <c r="M349">
        <f t="shared" si="88"/>
        <v>23110</v>
      </c>
      <c r="P349">
        <f t="shared" si="89"/>
        <v>8512</v>
      </c>
    </row>
    <row r="350" spans="1:16" x14ac:dyDescent="0.25">
      <c r="A350">
        <f t="shared" si="90"/>
        <v>344</v>
      </c>
      <c r="B350">
        <f t="shared" si="91"/>
        <v>8.6000000000000063E-2</v>
      </c>
      <c r="C350">
        <f t="shared" si="78"/>
        <v>0.95105651629514731</v>
      </c>
      <c r="D350">
        <f t="shared" si="79"/>
        <v>0.66913060635884358</v>
      </c>
      <c r="E350">
        <f t="shared" si="80"/>
        <v>0.95105651629514731</v>
      </c>
      <c r="F350">
        <f t="shared" si="81"/>
        <v>0.66913060635884358</v>
      </c>
      <c r="G350">
        <f t="shared" si="82"/>
        <v>0.63638102343010128</v>
      </c>
      <c r="H350">
        <f t="shared" si="83"/>
        <v>31163</v>
      </c>
      <c r="I350">
        <f t="shared" si="84"/>
        <v>31163</v>
      </c>
      <c r="J350">
        <f t="shared" si="85"/>
        <v>21925</v>
      </c>
      <c r="K350">
        <f t="shared" si="86"/>
        <v>971132569</v>
      </c>
      <c r="L350">
        <f t="shared" si="87"/>
        <v>480705625</v>
      </c>
      <c r="M350">
        <f t="shared" si="88"/>
        <v>20851</v>
      </c>
      <c r="P350">
        <f t="shared" si="89"/>
        <v>8223</v>
      </c>
    </row>
    <row r="351" spans="1:16" x14ac:dyDescent="0.25">
      <c r="A351">
        <f t="shared" si="90"/>
        <v>345</v>
      </c>
      <c r="B351">
        <f t="shared" si="91"/>
        <v>8.6250000000000063E-2</v>
      </c>
      <c r="C351">
        <f t="shared" si="78"/>
        <v>0.92387953251127886</v>
      </c>
      <c r="D351">
        <f t="shared" si="79"/>
        <v>0.60876142900870467</v>
      </c>
      <c r="E351">
        <f t="shared" si="80"/>
        <v>0.92387953251127886</v>
      </c>
      <c r="F351">
        <f t="shared" si="81"/>
        <v>0.60876142900870467</v>
      </c>
      <c r="G351">
        <f t="shared" si="82"/>
        <v>0.56242222444346013</v>
      </c>
      <c r="H351">
        <f t="shared" si="83"/>
        <v>30273</v>
      </c>
      <c r="I351">
        <f t="shared" si="84"/>
        <v>30272</v>
      </c>
      <c r="J351">
        <f t="shared" si="85"/>
        <v>19947</v>
      </c>
      <c r="K351">
        <f t="shared" si="86"/>
        <v>916393984</v>
      </c>
      <c r="L351">
        <f t="shared" si="87"/>
        <v>397882809</v>
      </c>
      <c r="M351">
        <f t="shared" si="88"/>
        <v>18427</v>
      </c>
      <c r="P351">
        <f t="shared" si="89"/>
        <v>7962</v>
      </c>
    </row>
    <row r="352" spans="1:16" x14ac:dyDescent="0.25">
      <c r="A352">
        <f t="shared" si="90"/>
        <v>346</v>
      </c>
      <c r="B352">
        <f t="shared" si="91"/>
        <v>8.6500000000000063E-2</v>
      </c>
      <c r="C352">
        <f t="shared" si="78"/>
        <v>0.89100652418835824</v>
      </c>
      <c r="D352">
        <f t="shared" si="79"/>
        <v>0.54463903501500988</v>
      </c>
      <c r="E352">
        <f t="shared" si="80"/>
        <v>0.89100652418835824</v>
      </c>
      <c r="F352">
        <f t="shared" si="81"/>
        <v>0.54463903501500988</v>
      </c>
      <c r="G352">
        <f t="shared" si="82"/>
        <v>0.48527693352602547</v>
      </c>
      <c r="H352">
        <f t="shared" si="83"/>
        <v>29196</v>
      </c>
      <c r="I352">
        <f t="shared" si="84"/>
        <v>29195</v>
      </c>
      <c r="J352">
        <f t="shared" si="85"/>
        <v>17846</v>
      </c>
      <c r="K352">
        <f t="shared" si="86"/>
        <v>852348025</v>
      </c>
      <c r="L352">
        <f t="shared" si="87"/>
        <v>318479716</v>
      </c>
      <c r="M352">
        <f t="shared" si="88"/>
        <v>15900</v>
      </c>
      <c r="P352">
        <f t="shared" si="89"/>
        <v>7732</v>
      </c>
    </row>
    <row r="353" spans="1:16" x14ac:dyDescent="0.25">
      <c r="A353">
        <f t="shared" si="90"/>
        <v>347</v>
      </c>
      <c r="B353">
        <f t="shared" si="91"/>
        <v>8.6750000000000063E-2</v>
      </c>
      <c r="C353">
        <f t="shared" si="78"/>
        <v>0.85264016435408096</v>
      </c>
      <c r="D353">
        <f t="shared" si="79"/>
        <v>0.47715876025958998</v>
      </c>
      <c r="E353">
        <f t="shared" si="80"/>
        <v>0.85264016435408096</v>
      </c>
      <c r="F353">
        <f t="shared" si="81"/>
        <v>0.47715876025958998</v>
      </c>
      <c r="G353">
        <f t="shared" si="82"/>
        <v>0.40684472377072634</v>
      </c>
      <c r="H353">
        <f t="shared" si="83"/>
        <v>27938</v>
      </c>
      <c r="I353">
        <f t="shared" si="84"/>
        <v>27938</v>
      </c>
      <c r="J353">
        <f t="shared" si="85"/>
        <v>15635</v>
      </c>
      <c r="K353">
        <f t="shared" si="86"/>
        <v>780531844</v>
      </c>
      <c r="L353">
        <f t="shared" si="87"/>
        <v>244453225</v>
      </c>
      <c r="M353">
        <f t="shared" si="88"/>
        <v>13330</v>
      </c>
      <c r="P353">
        <f t="shared" si="89"/>
        <v>7533</v>
      </c>
    </row>
    <row r="354" spans="1:16" x14ac:dyDescent="0.25">
      <c r="A354">
        <f t="shared" si="90"/>
        <v>348</v>
      </c>
      <c r="B354">
        <f t="shared" si="91"/>
        <v>8.7000000000000063E-2</v>
      </c>
      <c r="C354">
        <f t="shared" si="78"/>
        <v>0.80901699437493657</v>
      </c>
      <c r="D354">
        <f t="shared" si="79"/>
        <v>0.40673664307578389</v>
      </c>
      <c r="E354">
        <f t="shared" si="80"/>
        <v>0.80901699437493657</v>
      </c>
      <c r="F354">
        <f t="shared" si="81"/>
        <v>0.40673664307578389</v>
      </c>
      <c r="G354">
        <f t="shared" si="82"/>
        <v>0.32905685648332206</v>
      </c>
      <c r="H354">
        <f t="shared" si="83"/>
        <v>26509</v>
      </c>
      <c r="I354">
        <f t="shared" si="84"/>
        <v>26509</v>
      </c>
      <c r="J354">
        <f t="shared" si="85"/>
        <v>13327</v>
      </c>
      <c r="K354">
        <f t="shared" si="86"/>
        <v>702727081</v>
      </c>
      <c r="L354">
        <f t="shared" si="87"/>
        <v>177608929</v>
      </c>
      <c r="M354">
        <f t="shared" si="88"/>
        <v>10781</v>
      </c>
      <c r="P354">
        <f t="shared" si="89"/>
        <v>7366</v>
      </c>
    </row>
    <row r="355" spans="1:16" x14ac:dyDescent="0.25">
      <c r="A355">
        <f t="shared" si="90"/>
        <v>349</v>
      </c>
      <c r="B355">
        <f t="shared" si="91"/>
        <v>8.7250000000000064E-2</v>
      </c>
      <c r="C355">
        <f t="shared" si="78"/>
        <v>0.76040596560001861</v>
      </c>
      <c r="D355">
        <f t="shared" si="79"/>
        <v>0.33380685923375369</v>
      </c>
      <c r="E355">
        <f t="shared" si="80"/>
        <v>0.76040596560001861</v>
      </c>
      <c r="F355">
        <f t="shared" si="81"/>
        <v>0.33380685923375369</v>
      </c>
      <c r="G355">
        <f t="shared" si="82"/>
        <v>0.25382872711955196</v>
      </c>
      <c r="H355">
        <f t="shared" si="83"/>
        <v>24916</v>
      </c>
      <c r="I355">
        <f t="shared" si="84"/>
        <v>24916</v>
      </c>
      <c r="J355">
        <f t="shared" si="85"/>
        <v>10937</v>
      </c>
      <c r="K355">
        <f t="shared" si="86"/>
        <v>620807056</v>
      </c>
      <c r="L355">
        <f t="shared" si="87"/>
        <v>119617969</v>
      </c>
      <c r="M355">
        <f t="shared" si="88"/>
        <v>8316</v>
      </c>
      <c r="P355">
        <f t="shared" si="89"/>
        <v>7232</v>
      </c>
    </row>
    <row r="356" spans="1:16" x14ac:dyDescent="0.25">
      <c r="A356">
        <f t="shared" si="90"/>
        <v>350</v>
      </c>
      <c r="B356">
        <f t="shared" si="91"/>
        <v>8.7500000000000064E-2</v>
      </c>
      <c r="C356">
        <f t="shared" si="78"/>
        <v>0.70710678118653381</v>
      </c>
      <c r="D356">
        <f t="shared" si="79"/>
        <v>0.25881904510250264</v>
      </c>
      <c r="E356">
        <f t="shared" si="80"/>
        <v>0.70710678118653381</v>
      </c>
      <c r="F356">
        <f t="shared" si="81"/>
        <v>0.25881904510250264</v>
      </c>
      <c r="G356">
        <f t="shared" si="82"/>
        <v>0.18301270189220295</v>
      </c>
      <c r="H356">
        <f t="shared" si="83"/>
        <v>23170</v>
      </c>
      <c r="I356">
        <f t="shared" si="84"/>
        <v>23169</v>
      </c>
      <c r="J356">
        <f t="shared" si="85"/>
        <v>8480</v>
      </c>
      <c r="K356">
        <f t="shared" si="86"/>
        <v>536802561</v>
      </c>
      <c r="L356">
        <f t="shared" si="87"/>
        <v>71910400</v>
      </c>
      <c r="M356">
        <f t="shared" si="88"/>
        <v>5995</v>
      </c>
      <c r="P356">
        <f t="shared" si="89"/>
        <v>7128</v>
      </c>
    </row>
    <row r="357" spans="1:16" x14ac:dyDescent="0.25">
      <c r="A357">
        <f t="shared" si="90"/>
        <v>351</v>
      </c>
      <c r="B357">
        <f t="shared" si="91"/>
        <v>8.7750000000000064E-2</v>
      </c>
      <c r="C357">
        <f t="shared" si="78"/>
        <v>0.64944804833016856</v>
      </c>
      <c r="D357">
        <f t="shared" si="79"/>
        <v>0.1822355254921286</v>
      </c>
      <c r="E357">
        <f t="shared" si="80"/>
        <v>0.64944804833016856</v>
      </c>
      <c r="F357">
        <f t="shared" si="81"/>
        <v>0.1822355254921286</v>
      </c>
      <c r="G357">
        <f t="shared" si="82"/>
        <v>0.1183525063672856</v>
      </c>
      <c r="H357">
        <f t="shared" si="83"/>
        <v>21280</v>
      </c>
      <c r="I357">
        <f t="shared" si="84"/>
        <v>21280</v>
      </c>
      <c r="J357">
        <f t="shared" si="85"/>
        <v>5971</v>
      </c>
      <c r="K357">
        <f t="shared" si="86"/>
        <v>452838400</v>
      </c>
      <c r="L357">
        <f t="shared" si="87"/>
        <v>35652841</v>
      </c>
      <c r="M357">
        <f t="shared" si="88"/>
        <v>3877</v>
      </c>
      <c r="P357">
        <f t="shared" si="89"/>
        <v>7053</v>
      </c>
    </row>
    <row r="358" spans="1:16" x14ac:dyDescent="0.25">
      <c r="A358">
        <f t="shared" si="90"/>
        <v>352</v>
      </c>
      <c r="B358">
        <f t="shared" si="91"/>
        <v>8.8000000000000064E-2</v>
      </c>
      <c r="C358">
        <f t="shared" si="78"/>
        <v>0.58778525229245671</v>
      </c>
      <c r="D358">
        <f t="shared" si="79"/>
        <v>0.10452846326763396</v>
      </c>
      <c r="E358">
        <f t="shared" si="80"/>
        <v>0.58778525229245671</v>
      </c>
      <c r="F358">
        <f t="shared" si="81"/>
        <v>0.10452846326763396</v>
      </c>
      <c r="G358">
        <f t="shared" si="82"/>
        <v>6.144028915350902E-2</v>
      </c>
      <c r="H358">
        <f t="shared" si="83"/>
        <v>19260</v>
      </c>
      <c r="I358">
        <f t="shared" si="84"/>
        <v>19259</v>
      </c>
      <c r="J358">
        <f t="shared" si="85"/>
        <v>3425</v>
      </c>
      <c r="K358">
        <f t="shared" si="86"/>
        <v>370909081</v>
      </c>
      <c r="L358">
        <f t="shared" si="87"/>
        <v>11730625</v>
      </c>
      <c r="M358">
        <f t="shared" si="88"/>
        <v>2013</v>
      </c>
      <c r="P358">
        <f t="shared" si="89"/>
        <v>7004</v>
      </c>
    </row>
    <row r="359" spans="1:16" x14ac:dyDescent="0.25">
      <c r="A359">
        <f t="shared" si="90"/>
        <v>353</v>
      </c>
      <c r="B359">
        <f t="shared" si="91"/>
        <v>8.8250000000000065E-2</v>
      </c>
      <c r="C359">
        <f t="shared" si="78"/>
        <v>0.52249856471593126</v>
      </c>
      <c r="D359">
        <f t="shared" si="79"/>
        <v>2.6176948307853092E-2</v>
      </c>
      <c r="E359">
        <f t="shared" si="80"/>
        <v>0.52249856471593126</v>
      </c>
      <c r="F359">
        <f t="shared" si="81"/>
        <v>2.6176948307853092E-2</v>
      </c>
      <c r="G359">
        <f t="shared" si="82"/>
        <v>1.3677417919496367E-2</v>
      </c>
      <c r="H359">
        <f t="shared" si="83"/>
        <v>17121</v>
      </c>
      <c r="I359">
        <f t="shared" si="84"/>
        <v>17120</v>
      </c>
      <c r="J359">
        <f t="shared" si="85"/>
        <v>857</v>
      </c>
      <c r="K359">
        <f t="shared" si="86"/>
        <v>293094400</v>
      </c>
      <c r="L359">
        <f t="shared" si="87"/>
        <v>734449</v>
      </c>
      <c r="M359">
        <f t="shared" si="88"/>
        <v>447</v>
      </c>
      <c r="P359">
        <f t="shared" si="89"/>
        <v>6979</v>
      </c>
    </row>
    <row r="360" spans="1:16" x14ac:dyDescent="0.25">
      <c r="A360">
        <f t="shared" si="90"/>
        <v>354</v>
      </c>
      <c r="B360">
        <f t="shared" si="91"/>
        <v>8.8500000000000065E-2</v>
      </c>
      <c r="C360">
        <f t="shared" si="78"/>
        <v>0.45399049973952799</v>
      </c>
      <c r="D360">
        <f t="shared" si="79"/>
        <v>-5.2335956242964311E-2</v>
      </c>
      <c r="E360">
        <f t="shared" si="80"/>
        <v>0.45399049973952799</v>
      </c>
      <c r="F360">
        <f t="shared" si="81"/>
        <v>-5.2335956242964311E-2</v>
      </c>
      <c r="G360">
        <f t="shared" si="82"/>
        <v>-2.3760026929089437E-2</v>
      </c>
      <c r="H360">
        <f t="shared" si="83"/>
        <v>14876</v>
      </c>
      <c r="I360">
        <f t="shared" si="84"/>
        <v>14875</v>
      </c>
      <c r="J360">
        <f t="shared" si="85"/>
        <v>-1715</v>
      </c>
      <c r="K360">
        <f t="shared" si="86"/>
        <v>221265625</v>
      </c>
      <c r="L360">
        <f t="shared" si="87"/>
        <v>2941225</v>
      </c>
      <c r="M360">
        <f t="shared" si="88"/>
        <v>-779</v>
      </c>
      <c r="P360">
        <f t="shared" si="89"/>
        <v>6974</v>
      </c>
    </row>
    <row r="361" spans="1:16" x14ac:dyDescent="0.25">
      <c r="A361">
        <f t="shared" si="90"/>
        <v>355</v>
      </c>
      <c r="B361">
        <f t="shared" si="91"/>
        <v>8.8750000000000065E-2</v>
      </c>
      <c r="C361">
        <f t="shared" si="78"/>
        <v>0.38268343236506985</v>
      </c>
      <c r="D361">
        <f t="shared" si="79"/>
        <v>-0.13052619222007236</v>
      </c>
      <c r="E361">
        <f t="shared" si="80"/>
        <v>0.38268343236506985</v>
      </c>
      <c r="F361">
        <f t="shared" si="81"/>
        <v>-0.13052619222007236</v>
      </c>
      <c r="G361">
        <f t="shared" si="82"/>
        <v>-4.9950211252320166E-2</v>
      </c>
      <c r="H361">
        <f t="shared" si="83"/>
        <v>12539</v>
      </c>
      <c r="I361">
        <f t="shared" si="84"/>
        <v>12539</v>
      </c>
      <c r="J361">
        <f t="shared" si="85"/>
        <v>-4278</v>
      </c>
      <c r="K361">
        <f t="shared" si="86"/>
        <v>157226521</v>
      </c>
      <c r="L361">
        <f t="shared" si="87"/>
        <v>18301284</v>
      </c>
      <c r="M361">
        <f t="shared" si="88"/>
        <v>-1638</v>
      </c>
      <c r="P361">
        <f t="shared" si="89"/>
        <v>6983</v>
      </c>
    </row>
    <row r="362" spans="1:16" x14ac:dyDescent="0.25">
      <c r="A362">
        <f t="shared" si="90"/>
        <v>356</v>
      </c>
      <c r="B362">
        <f t="shared" si="91"/>
        <v>8.9000000000000065E-2</v>
      </c>
      <c r="C362">
        <f t="shared" si="78"/>
        <v>0.30901699437492652</v>
      </c>
      <c r="D362">
        <f t="shared" si="79"/>
        <v>-0.20791169081778027</v>
      </c>
      <c r="E362">
        <f t="shared" si="80"/>
        <v>0.30901699437492652</v>
      </c>
      <c r="F362">
        <f t="shared" si="81"/>
        <v>-0.20791169081778027</v>
      </c>
      <c r="G362">
        <f t="shared" si="82"/>
        <v>-6.424824579191947E-2</v>
      </c>
      <c r="H362">
        <f t="shared" si="83"/>
        <v>10126</v>
      </c>
      <c r="I362">
        <f t="shared" si="84"/>
        <v>10125</v>
      </c>
      <c r="J362">
        <f t="shared" si="85"/>
        <v>-6813</v>
      </c>
      <c r="K362">
        <f t="shared" si="86"/>
        <v>102515625</v>
      </c>
      <c r="L362">
        <f t="shared" si="87"/>
        <v>46416969</v>
      </c>
      <c r="M362">
        <f t="shared" si="88"/>
        <v>-2106</v>
      </c>
      <c r="P362">
        <f t="shared" si="89"/>
        <v>7004</v>
      </c>
    </row>
    <row r="363" spans="1:16" x14ac:dyDescent="0.25">
      <c r="A363">
        <f t="shared" si="90"/>
        <v>357</v>
      </c>
      <c r="B363">
        <f t="shared" si="91"/>
        <v>8.9250000000000065E-2</v>
      </c>
      <c r="C363">
        <f t="shared" si="78"/>
        <v>0.23344536385588358</v>
      </c>
      <c r="D363">
        <f t="shared" si="79"/>
        <v>-0.28401534470394357</v>
      </c>
      <c r="E363">
        <f t="shared" si="80"/>
        <v>0.23344536385588358</v>
      </c>
      <c r="F363">
        <f t="shared" si="81"/>
        <v>-0.28401534470394357</v>
      </c>
      <c r="G363">
        <f t="shared" si="82"/>
        <v>-6.63020654850663E-2</v>
      </c>
      <c r="H363">
        <f t="shared" si="83"/>
        <v>7649</v>
      </c>
      <c r="I363">
        <f t="shared" si="84"/>
        <v>7649</v>
      </c>
      <c r="J363">
        <f t="shared" si="85"/>
        <v>-9307</v>
      </c>
      <c r="K363">
        <f t="shared" si="86"/>
        <v>58507201</v>
      </c>
      <c r="L363">
        <f t="shared" si="87"/>
        <v>86620249</v>
      </c>
      <c r="M363">
        <f t="shared" si="88"/>
        <v>-2173</v>
      </c>
      <c r="P363">
        <f t="shared" si="89"/>
        <v>7030</v>
      </c>
    </row>
    <row r="364" spans="1:16" x14ac:dyDescent="0.25">
      <c r="A364">
        <f t="shared" si="90"/>
        <v>358</v>
      </c>
      <c r="B364">
        <f t="shared" si="91"/>
        <v>8.9500000000000066E-2</v>
      </c>
      <c r="C364">
        <f t="shared" si="78"/>
        <v>0.15643446504021177</v>
      </c>
      <c r="D364">
        <f t="shared" si="79"/>
        <v>-0.35836794954531775</v>
      </c>
      <c r="E364">
        <f t="shared" si="80"/>
        <v>0.15643446504021177</v>
      </c>
      <c r="F364">
        <f t="shared" si="81"/>
        <v>-0.35836794954531775</v>
      </c>
      <c r="G364">
        <f t="shared" si="82"/>
        <v>-5.606109847467939E-2</v>
      </c>
      <c r="H364">
        <f t="shared" si="83"/>
        <v>5126</v>
      </c>
      <c r="I364">
        <f t="shared" si="84"/>
        <v>5125</v>
      </c>
      <c r="J364">
        <f t="shared" si="85"/>
        <v>-11744</v>
      </c>
      <c r="K364">
        <f t="shared" si="86"/>
        <v>26265625</v>
      </c>
      <c r="L364">
        <f t="shared" si="87"/>
        <v>137921536</v>
      </c>
      <c r="M364">
        <f t="shared" si="88"/>
        <v>-1837</v>
      </c>
      <c r="P364">
        <f t="shared" si="89"/>
        <v>7057</v>
      </c>
    </row>
    <row r="365" spans="1:16" x14ac:dyDescent="0.25">
      <c r="A365">
        <f t="shared" si="90"/>
        <v>359</v>
      </c>
      <c r="B365">
        <f t="shared" si="91"/>
        <v>8.9750000000000066E-2</v>
      </c>
      <c r="C365">
        <f t="shared" si="78"/>
        <v>7.8459095727825237E-2</v>
      </c>
      <c r="D365">
        <f t="shared" si="79"/>
        <v>-0.43051109680831245</v>
      </c>
      <c r="E365">
        <f t="shared" si="80"/>
        <v>7.8459095727825237E-2</v>
      </c>
      <c r="F365">
        <f t="shared" si="81"/>
        <v>-0.43051109680831245</v>
      </c>
      <c r="G365">
        <f t="shared" si="82"/>
        <v>-3.3777511356374426E-2</v>
      </c>
      <c r="H365">
        <f t="shared" si="83"/>
        <v>2571</v>
      </c>
      <c r="I365">
        <f t="shared" si="84"/>
        <v>2570</v>
      </c>
      <c r="J365">
        <f t="shared" si="85"/>
        <v>-14107</v>
      </c>
      <c r="K365">
        <f t="shared" si="86"/>
        <v>6604900</v>
      </c>
      <c r="L365">
        <f t="shared" si="87"/>
        <v>199007449</v>
      </c>
      <c r="M365">
        <f t="shared" si="88"/>
        <v>-1107</v>
      </c>
      <c r="P365">
        <f t="shared" si="89"/>
        <v>7080</v>
      </c>
    </row>
    <row r="366" spans="1:16" x14ac:dyDescent="0.25">
      <c r="A366">
        <f t="shared" si="90"/>
        <v>360</v>
      </c>
      <c r="B366">
        <f t="shared" si="91"/>
        <v>9.0000000000000066E-2</v>
      </c>
      <c r="C366">
        <f t="shared" si="78"/>
        <v>-2.0213648463385248E-14</v>
      </c>
      <c r="D366">
        <f t="shared" si="79"/>
        <v>-0.50000000000001699</v>
      </c>
      <c r="E366">
        <f t="shared" si="80"/>
        <v>-2.0213648463385248E-14</v>
      </c>
      <c r="F366">
        <f t="shared" si="81"/>
        <v>-0.50000000000001699</v>
      </c>
      <c r="G366">
        <f t="shared" si="82"/>
        <v>1.0106824231692968E-14</v>
      </c>
      <c r="H366">
        <f t="shared" si="83"/>
        <v>0</v>
      </c>
      <c r="I366">
        <f t="shared" si="84"/>
        <v>-1</v>
      </c>
      <c r="J366">
        <f t="shared" si="85"/>
        <v>-16385</v>
      </c>
      <c r="K366">
        <f t="shared" si="86"/>
        <v>1</v>
      </c>
      <c r="L366">
        <f t="shared" si="87"/>
        <v>268468225</v>
      </c>
      <c r="M366">
        <f t="shared" si="88"/>
        <v>0</v>
      </c>
      <c r="P366">
        <f t="shared" si="89"/>
        <v>7094</v>
      </c>
    </row>
    <row r="367" spans="1:16" x14ac:dyDescent="0.25">
      <c r="A367">
        <f t="shared" si="90"/>
        <v>361</v>
      </c>
      <c r="B367">
        <f t="shared" si="91"/>
        <v>9.0250000000000066E-2</v>
      </c>
      <c r="C367">
        <f t="shared" si="78"/>
        <v>-7.8459095727865538E-2</v>
      </c>
      <c r="D367">
        <f t="shared" si="79"/>
        <v>-0.56640623692484937</v>
      </c>
      <c r="E367">
        <f t="shared" si="80"/>
        <v>-7.8459095727865538E-2</v>
      </c>
      <c r="F367">
        <f t="shared" si="81"/>
        <v>-0.56640623692484937</v>
      </c>
      <c r="G367">
        <f t="shared" si="82"/>
        <v>4.4439721163746844E-2</v>
      </c>
      <c r="H367">
        <f t="shared" si="83"/>
        <v>-2571</v>
      </c>
      <c r="I367">
        <f t="shared" si="84"/>
        <v>-2571</v>
      </c>
      <c r="J367">
        <f t="shared" si="85"/>
        <v>-18560</v>
      </c>
      <c r="K367">
        <f t="shared" si="86"/>
        <v>6610041</v>
      </c>
      <c r="L367">
        <f t="shared" si="87"/>
        <v>344473600</v>
      </c>
      <c r="M367">
        <f t="shared" si="88"/>
        <v>1456</v>
      </c>
      <c r="P367">
        <f t="shared" si="89"/>
        <v>7094</v>
      </c>
    </row>
    <row r="368" spans="1:16" x14ac:dyDescent="0.25">
      <c r="A368">
        <f t="shared" si="90"/>
        <v>362</v>
      </c>
      <c r="B368">
        <f t="shared" si="91"/>
        <v>9.0500000000000067E-2</v>
      </c>
      <c r="C368">
        <f t="shared" si="78"/>
        <v>-0.15643446504025171</v>
      </c>
      <c r="D368">
        <f t="shared" si="79"/>
        <v>-0.62932039104985338</v>
      </c>
      <c r="E368">
        <f t="shared" si="80"/>
        <v>-0.15643446504025171</v>
      </c>
      <c r="F368">
        <f t="shared" si="81"/>
        <v>-0.62932039104985338</v>
      </c>
      <c r="G368">
        <f t="shared" si="82"/>
        <v>9.844739871280582E-2</v>
      </c>
      <c r="H368">
        <f t="shared" si="83"/>
        <v>-5126</v>
      </c>
      <c r="I368">
        <f t="shared" si="84"/>
        <v>-5127</v>
      </c>
      <c r="J368">
        <f t="shared" si="85"/>
        <v>-20622</v>
      </c>
      <c r="K368">
        <f t="shared" si="86"/>
        <v>26286129</v>
      </c>
      <c r="L368">
        <f t="shared" si="87"/>
        <v>425266884</v>
      </c>
      <c r="M368">
        <f t="shared" si="88"/>
        <v>3226</v>
      </c>
      <c r="P368">
        <f t="shared" si="89"/>
        <v>7076</v>
      </c>
    </row>
    <row r="369" spans="1:16" x14ac:dyDescent="0.25">
      <c r="A369">
        <f t="shared" si="90"/>
        <v>363</v>
      </c>
      <c r="B369">
        <f t="shared" si="91"/>
        <v>9.0750000000000067E-2</v>
      </c>
      <c r="C369">
        <f t="shared" si="78"/>
        <v>-0.23344536385592635</v>
      </c>
      <c r="D369">
        <f t="shared" si="79"/>
        <v>-0.68835457569376912</v>
      </c>
      <c r="E369">
        <f t="shared" si="80"/>
        <v>-0.23344536385592635</v>
      </c>
      <c r="F369">
        <f t="shared" si="81"/>
        <v>-0.68835457569376912</v>
      </c>
      <c r="G369">
        <f t="shared" si="82"/>
        <v>0.16069318438472371</v>
      </c>
      <c r="H369">
        <f t="shared" si="83"/>
        <v>-7650</v>
      </c>
      <c r="I369">
        <f t="shared" si="84"/>
        <v>-7650</v>
      </c>
      <c r="J369">
        <f t="shared" si="85"/>
        <v>-22557</v>
      </c>
      <c r="K369">
        <f t="shared" si="86"/>
        <v>58522500</v>
      </c>
      <c r="L369">
        <f t="shared" si="87"/>
        <v>508818249</v>
      </c>
      <c r="M369">
        <f t="shared" si="88"/>
        <v>5266</v>
      </c>
      <c r="P369">
        <f t="shared" si="89"/>
        <v>7035</v>
      </c>
    </row>
    <row r="370" spans="1:16" x14ac:dyDescent="0.25">
      <c r="A370">
        <f t="shared" si="90"/>
        <v>364</v>
      </c>
      <c r="B370">
        <f t="shared" si="91"/>
        <v>9.1000000000000067E-2</v>
      </c>
      <c r="C370">
        <f t="shared" si="78"/>
        <v>-0.30901699437496832</v>
      </c>
      <c r="D370">
        <f t="shared" si="79"/>
        <v>-0.74314482547740857</v>
      </c>
      <c r="E370">
        <f t="shared" si="80"/>
        <v>-0.30901699437496832</v>
      </c>
      <c r="F370">
        <f t="shared" si="81"/>
        <v>-0.74314482547740857</v>
      </c>
      <c r="G370">
        <f t="shared" si="82"/>
        <v>0.22964438035433918</v>
      </c>
      <c r="H370">
        <f t="shared" si="83"/>
        <v>-10126</v>
      </c>
      <c r="I370">
        <f t="shared" si="84"/>
        <v>-10126</v>
      </c>
      <c r="J370">
        <f t="shared" si="85"/>
        <v>-24352</v>
      </c>
      <c r="K370">
        <f t="shared" si="86"/>
        <v>102535876</v>
      </c>
      <c r="L370">
        <f t="shared" si="87"/>
        <v>593019904</v>
      </c>
      <c r="M370">
        <f t="shared" si="88"/>
        <v>7525</v>
      </c>
      <c r="P370">
        <f t="shared" si="89"/>
        <v>6970</v>
      </c>
    </row>
    <row r="371" spans="1:16" x14ac:dyDescent="0.25">
      <c r="A371">
        <f t="shared" si="90"/>
        <v>365</v>
      </c>
      <c r="B371">
        <f t="shared" si="91"/>
        <v>9.1250000000000067E-2</v>
      </c>
      <c r="C371">
        <f t="shared" si="78"/>
        <v>-0.38268343236511049</v>
      </c>
      <c r="D371">
        <f t="shared" si="79"/>
        <v>-0.79335334029124849</v>
      </c>
      <c r="E371">
        <f t="shared" si="80"/>
        <v>-0.38268343236511049</v>
      </c>
      <c r="F371">
        <f t="shared" si="81"/>
        <v>-0.79335334029124849</v>
      </c>
      <c r="G371">
        <f t="shared" si="82"/>
        <v>0.30360317934098047</v>
      </c>
      <c r="H371">
        <f t="shared" si="83"/>
        <v>-12540</v>
      </c>
      <c r="I371">
        <f t="shared" si="84"/>
        <v>-12540</v>
      </c>
      <c r="J371">
        <f t="shared" si="85"/>
        <v>-25997</v>
      </c>
      <c r="K371">
        <f t="shared" si="86"/>
        <v>157251600</v>
      </c>
      <c r="L371">
        <f t="shared" si="87"/>
        <v>675844009</v>
      </c>
      <c r="M371">
        <f t="shared" si="88"/>
        <v>9948</v>
      </c>
      <c r="P371">
        <f t="shared" si="89"/>
        <v>6876</v>
      </c>
    </row>
    <row r="372" spans="1:16" x14ac:dyDescent="0.25">
      <c r="A372">
        <f t="shared" si="90"/>
        <v>366</v>
      </c>
      <c r="B372">
        <f t="shared" si="91"/>
        <v>9.1500000000000067E-2</v>
      </c>
      <c r="C372">
        <f t="shared" si="78"/>
        <v>-0.45399049973956718</v>
      </c>
      <c r="D372">
        <f t="shared" si="79"/>
        <v>-0.83867056794543615</v>
      </c>
      <c r="E372">
        <f t="shared" si="80"/>
        <v>-0.45399049973956718</v>
      </c>
      <c r="F372">
        <f t="shared" si="81"/>
        <v>-0.83867056794543615</v>
      </c>
      <c r="G372">
        <f t="shared" si="82"/>
        <v>0.38074847025841518</v>
      </c>
      <c r="H372">
        <f t="shared" si="83"/>
        <v>-14876</v>
      </c>
      <c r="I372">
        <f t="shared" si="84"/>
        <v>-14877</v>
      </c>
      <c r="J372">
        <f t="shared" si="85"/>
        <v>-27482</v>
      </c>
      <c r="K372">
        <f t="shared" si="86"/>
        <v>221325129</v>
      </c>
      <c r="L372">
        <f t="shared" si="87"/>
        <v>755260324</v>
      </c>
      <c r="M372">
        <f t="shared" si="88"/>
        <v>12477</v>
      </c>
      <c r="P372">
        <f t="shared" si="89"/>
        <v>6751</v>
      </c>
    </row>
    <row r="373" spans="1:16" x14ac:dyDescent="0.25">
      <c r="A373">
        <f t="shared" si="90"/>
        <v>367</v>
      </c>
      <c r="B373">
        <f t="shared" si="91"/>
        <v>9.1750000000000068E-2</v>
      </c>
      <c r="C373">
        <f t="shared" si="78"/>
        <v>-0.52249856471596567</v>
      </c>
      <c r="D373">
        <f t="shared" si="79"/>
        <v>-0.87881711266197449</v>
      </c>
      <c r="E373">
        <f t="shared" si="80"/>
        <v>-0.52249856471596567</v>
      </c>
      <c r="F373">
        <f t="shared" si="81"/>
        <v>-0.87881711266197449</v>
      </c>
      <c r="G373">
        <f t="shared" si="82"/>
        <v>0.45918068001371076</v>
      </c>
      <c r="H373">
        <f t="shared" si="83"/>
        <v>-17121</v>
      </c>
      <c r="I373">
        <f t="shared" si="84"/>
        <v>-17122</v>
      </c>
      <c r="J373">
        <f t="shared" si="85"/>
        <v>-28798</v>
      </c>
      <c r="K373">
        <f t="shared" si="86"/>
        <v>293162884</v>
      </c>
      <c r="L373">
        <f t="shared" si="87"/>
        <v>829324804</v>
      </c>
      <c r="M373">
        <f t="shared" si="88"/>
        <v>15047</v>
      </c>
      <c r="P373">
        <f t="shared" si="89"/>
        <v>6595</v>
      </c>
    </row>
    <row r="374" spans="1:16" x14ac:dyDescent="0.25">
      <c r="A374">
        <f t="shared" si="90"/>
        <v>368</v>
      </c>
      <c r="B374">
        <f t="shared" si="91"/>
        <v>9.2000000000000068E-2</v>
      </c>
      <c r="C374">
        <f t="shared" si="78"/>
        <v>-0.58778525229248946</v>
      </c>
      <c r="D374">
        <f t="shared" si="79"/>
        <v>-0.91354545764260886</v>
      </c>
      <c r="E374">
        <f t="shared" si="80"/>
        <v>-0.58778525229248946</v>
      </c>
      <c r="F374">
        <f t="shared" si="81"/>
        <v>-0.91354545764260886</v>
      </c>
      <c r="G374">
        <f t="shared" si="82"/>
        <v>0.53696854730111854</v>
      </c>
      <c r="H374">
        <f t="shared" si="83"/>
        <v>-19261</v>
      </c>
      <c r="I374">
        <f t="shared" si="84"/>
        <v>-19261</v>
      </c>
      <c r="J374">
        <f t="shared" si="85"/>
        <v>-29936</v>
      </c>
      <c r="K374">
        <f t="shared" si="86"/>
        <v>370986121</v>
      </c>
      <c r="L374">
        <f t="shared" si="87"/>
        <v>896164096</v>
      </c>
      <c r="M374">
        <f t="shared" si="88"/>
        <v>17596</v>
      </c>
      <c r="P374">
        <f t="shared" si="89"/>
        <v>6407</v>
      </c>
    </row>
    <row r="375" spans="1:16" x14ac:dyDescent="0.25">
      <c r="A375">
        <f t="shared" si="90"/>
        <v>369</v>
      </c>
      <c r="B375">
        <f t="shared" si="91"/>
        <v>9.2250000000000068E-2</v>
      </c>
      <c r="C375">
        <f t="shared" si="78"/>
        <v>-0.64944804833019931</v>
      </c>
      <c r="D375">
        <f t="shared" si="79"/>
        <v>-0.94264149109218509</v>
      </c>
      <c r="E375">
        <f t="shared" si="80"/>
        <v>-0.64944804833019931</v>
      </c>
      <c r="F375">
        <f t="shared" si="81"/>
        <v>-0.94264149109218509</v>
      </c>
      <c r="G375">
        <f t="shared" si="82"/>
        <v>0.61219667666488853</v>
      </c>
      <c r="H375">
        <f t="shared" si="83"/>
        <v>-21281</v>
      </c>
      <c r="I375">
        <f t="shared" si="84"/>
        <v>-21282</v>
      </c>
      <c r="J375">
        <f t="shared" si="85"/>
        <v>-30889</v>
      </c>
      <c r="K375">
        <f t="shared" si="86"/>
        <v>452923524</v>
      </c>
      <c r="L375">
        <f t="shared" si="87"/>
        <v>954130321</v>
      </c>
      <c r="M375">
        <f t="shared" si="88"/>
        <v>20061</v>
      </c>
      <c r="P375">
        <f t="shared" si="89"/>
        <v>6187</v>
      </c>
    </row>
    <row r="376" spans="1:16" x14ac:dyDescent="0.25">
      <c r="A376">
        <f t="shared" si="90"/>
        <v>370</v>
      </c>
      <c r="B376">
        <f t="shared" si="91"/>
        <v>9.2500000000000068E-2</v>
      </c>
      <c r="C376">
        <f t="shared" si="78"/>
        <v>-0.70710678118656245</v>
      </c>
      <c r="D376">
        <f t="shared" si="79"/>
        <v>-0.96592582628907353</v>
      </c>
      <c r="E376">
        <f t="shared" si="80"/>
        <v>-0.70710678118656245</v>
      </c>
      <c r="F376">
        <f t="shared" si="81"/>
        <v>-0.96592582628907353</v>
      </c>
      <c r="G376">
        <f t="shared" si="82"/>
        <v>0.68301270189223739</v>
      </c>
      <c r="H376">
        <f t="shared" si="83"/>
        <v>-23170</v>
      </c>
      <c r="I376">
        <f t="shared" si="84"/>
        <v>-23171</v>
      </c>
      <c r="J376">
        <f t="shared" si="85"/>
        <v>-31652</v>
      </c>
      <c r="K376">
        <f t="shared" si="86"/>
        <v>536895241</v>
      </c>
      <c r="L376">
        <f t="shared" si="87"/>
        <v>1001849104</v>
      </c>
      <c r="M376">
        <f t="shared" si="88"/>
        <v>22381</v>
      </c>
      <c r="P376">
        <f t="shared" si="89"/>
        <v>5936</v>
      </c>
    </row>
    <row r="377" spans="1:16" x14ac:dyDescent="0.25">
      <c r="A377">
        <f t="shared" si="90"/>
        <v>371</v>
      </c>
      <c r="B377">
        <f t="shared" si="91"/>
        <v>9.2750000000000069E-2</v>
      </c>
      <c r="C377">
        <f t="shared" si="78"/>
        <v>-0.76040596560004492</v>
      </c>
      <c r="D377">
        <f t="shared" si="79"/>
        <v>-0.98325490756395839</v>
      </c>
      <c r="E377">
        <f t="shared" si="80"/>
        <v>-0.76040596560004492</v>
      </c>
      <c r="F377">
        <f t="shared" si="81"/>
        <v>-0.98325490756395839</v>
      </c>
      <c r="G377">
        <f t="shared" si="82"/>
        <v>0.7476728974171547</v>
      </c>
      <c r="H377">
        <f t="shared" si="83"/>
        <v>-24917</v>
      </c>
      <c r="I377">
        <f t="shared" si="84"/>
        <v>-24917</v>
      </c>
      <c r="J377">
        <f t="shared" si="85"/>
        <v>-32220</v>
      </c>
      <c r="K377">
        <f t="shared" si="86"/>
        <v>620856889</v>
      </c>
      <c r="L377">
        <f t="shared" si="87"/>
        <v>1038128400</v>
      </c>
      <c r="M377">
        <f t="shared" si="88"/>
        <v>24500</v>
      </c>
      <c r="P377">
        <f t="shared" si="89"/>
        <v>5657</v>
      </c>
    </row>
    <row r="378" spans="1:16" x14ac:dyDescent="0.25">
      <c r="A378">
        <f t="shared" si="90"/>
        <v>372</v>
      </c>
      <c r="B378">
        <f t="shared" si="91"/>
        <v>9.3000000000000069E-2</v>
      </c>
      <c r="C378">
        <f t="shared" si="78"/>
        <v>-0.80901699437496033</v>
      </c>
      <c r="D378">
        <f t="shared" si="79"/>
        <v>-0.99452189536827562</v>
      </c>
      <c r="E378">
        <f t="shared" si="80"/>
        <v>-0.80901699437496033</v>
      </c>
      <c r="F378">
        <f t="shared" si="81"/>
        <v>-0.99452189536827562</v>
      </c>
      <c r="G378">
        <f t="shared" si="82"/>
        <v>0.80458511463093108</v>
      </c>
      <c r="H378">
        <f t="shared" si="83"/>
        <v>-26510</v>
      </c>
      <c r="I378">
        <f t="shared" si="84"/>
        <v>-26510</v>
      </c>
      <c r="J378">
        <f t="shared" si="85"/>
        <v>-32589</v>
      </c>
      <c r="K378">
        <f t="shared" si="86"/>
        <v>702780100</v>
      </c>
      <c r="L378">
        <f t="shared" si="87"/>
        <v>1062042921</v>
      </c>
      <c r="M378">
        <f t="shared" si="88"/>
        <v>26365</v>
      </c>
      <c r="P378">
        <f t="shared" si="89"/>
        <v>5350</v>
      </c>
    </row>
    <row r="379" spans="1:16" x14ac:dyDescent="0.25">
      <c r="A379">
        <f t="shared" si="90"/>
        <v>373</v>
      </c>
      <c r="B379">
        <f t="shared" si="91"/>
        <v>9.3250000000000069E-2</v>
      </c>
      <c r="C379">
        <f t="shared" si="78"/>
        <v>-0.85264016435410395</v>
      </c>
      <c r="D379">
        <f t="shared" si="79"/>
        <v>-0.99965732497555781</v>
      </c>
      <c r="E379">
        <f t="shared" si="80"/>
        <v>-0.85264016435410395</v>
      </c>
      <c r="F379">
        <f t="shared" si="81"/>
        <v>-0.99965732497555781</v>
      </c>
      <c r="G379">
        <f t="shared" si="82"/>
        <v>0.85234798586494354</v>
      </c>
      <c r="H379">
        <f t="shared" si="83"/>
        <v>-27939</v>
      </c>
      <c r="I379">
        <f t="shared" si="84"/>
        <v>-27940</v>
      </c>
      <c r="J379">
        <f t="shared" si="85"/>
        <v>-32757</v>
      </c>
      <c r="K379">
        <f t="shared" si="86"/>
        <v>780643600</v>
      </c>
      <c r="L379">
        <f t="shared" si="87"/>
        <v>1073021049</v>
      </c>
      <c r="M379">
        <f t="shared" si="88"/>
        <v>27930</v>
      </c>
      <c r="P379">
        <f t="shared" si="89"/>
        <v>5021</v>
      </c>
    </row>
    <row r="380" spans="1:16" x14ac:dyDescent="0.25">
      <c r="A380">
        <f t="shared" si="90"/>
        <v>374</v>
      </c>
      <c r="B380">
        <f t="shared" si="91"/>
        <v>9.3500000000000069E-2</v>
      </c>
      <c r="C380">
        <f t="shared" si="78"/>
        <v>-0.89100652418837822</v>
      </c>
      <c r="D380">
        <f t="shared" si="79"/>
        <v>-0.99862953475457272</v>
      </c>
      <c r="E380">
        <f t="shared" si="80"/>
        <v>-0.89100652418837822</v>
      </c>
      <c r="F380">
        <f t="shared" si="81"/>
        <v>-0.99862953475457272</v>
      </c>
      <c r="G380">
        <f t="shared" si="82"/>
        <v>0.88978543071352911</v>
      </c>
      <c r="H380">
        <f t="shared" si="83"/>
        <v>-29197</v>
      </c>
      <c r="I380">
        <f t="shared" si="84"/>
        <v>-29197</v>
      </c>
      <c r="J380">
        <f t="shared" si="85"/>
        <v>-32724</v>
      </c>
      <c r="K380">
        <f t="shared" si="86"/>
        <v>852464809</v>
      </c>
      <c r="L380">
        <f t="shared" si="87"/>
        <v>1070860176</v>
      </c>
      <c r="M380">
        <f t="shared" si="88"/>
        <v>29157</v>
      </c>
      <c r="P380">
        <f t="shared" si="89"/>
        <v>4672</v>
      </c>
    </row>
    <row r="381" spans="1:16" x14ac:dyDescent="0.25">
      <c r="A381">
        <f t="shared" si="90"/>
        <v>375</v>
      </c>
      <c r="B381">
        <f t="shared" si="91"/>
        <v>9.3750000000000069E-2</v>
      </c>
      <c r="C381">
        <f t="shared" si="78"/>
        <v>-0.92387953251129562</v>
      </c>
      <c r="D381">
        <f t="shared" si="79"/>
        <v>-0.9914448613738075</v>
      </c>
      <c r="E381">
        <f t="shared" si="80"/>
        <v>-0.92387953251129562</v>
      </c>
      <c r="F381">
        <f t="shared" si="81"/>
        <v>-0.9914448613738075</v>
      </c>
      <c r="G381">
        <f t="shared" si="82"/>
        <v>0.91597561503675962</v>
      </c>
      <c r="H381">
        <f t="shared" si="83"/>
        <v>-30274</v>
      </c>
      <c r="I381">
        <f t="shared" si="84"/>
        <v>-30274</v>
      </c>
      <c r="J381">
        <f t="shared" si="85"/>
        <v>-32488</v>
      </c>
      <c r="K381">
        <f t="shared" si="86"/>
        <v>916515076</v>
      </c>
      <c r="L381">
        <f t="shared" si="87"/>
        <v>1055470144</v>
      </c>
      <c r="M381">
        <f t="shared" si="88"/>
        <v>30015</v>
      </c>
      <c r="P381">
        <f t="shared" si="89"/>
        <v>4307</v>
      </c>
    </row>
    <row r="382" spans="1:16" x14ac:dyDescent="0.25">
      <c r="A382">
        <f t="shared" si="90"/>
        <v>376</v>
      </c>
      <c r="B382">
        <f t="shared" si="91"/>
        <v>9.400000000000007E-2</v>
      </c>
      <c r="C382">
        <f t="shared" si="78"/>
        <v>-0.95105651629516086</v>
      </c>
      <c r="D382">
        <f t="shared" si="79"/>
        <v>-0.9781476007338008</v>
      </c>
      <c r="E382">
        <f t="shared" si="80"/>
        <v>-0.95105651629516086</v>
      </c>
      <c r="F382">
        <f t="shared" si="81"/>
        <v>-0.9781476007338008</v>
      </c>
      <c r="G382">
        <f t="shared" si="82"/>
        <v>0.9302736495763585</v>
      </c>
      <c r="H382">
        <f t="shared" si="83"/>
        <v>-31164</v>
      </c>
      <c r="I382">
        <f t="shared" si="84"/>
        <v>-31165</v>
      </c>
      <c r="J382">
        <f t="shared" si="85"/>
        <v>-32052</v>
      </c>
      <c r="K382">
        <f t="shared" si="86"/>
        <v>971257225</v>
      </c>
      <c r="L382">
        <f t="shared" si="87"/>
        <v>1027330704</v>
      </c>
      <c r="M382">
        <f t="shared" si="88"/>
        <v>30484</v>
      </c>
      <c r="P382">
        <f t="shared" si="89"/>
        <v>3932</v>
      </c>
    </row>
    <row r="383" spans="1:16" x14ac:dyDescent="0.25">
      <c r="A383">
        <f t="shared" si="90"/>
        <v>377</v>
      </c>
      <c r="B383">
        <f t="shared" si="91"/>
        <v>9.425000000000007E-2</v>
      </c>
      <c r="C383">
        <f t="shared" si="78"/>
        <v>-0.97236992039768144</v>
      </c>
      <c r="D383">
        <f t="shared" si="79"/>
        <v>-0.95881973486818739</v>
      </c>
      <c r="E383">
        <f t="shared" si="80"/>
        <v>-0.97236992039768144</v>
      </c>
      <c r="F383">
        <f t="shared" si="81"/>
        <v>-0.95881973486818739</v>
      </c>
      <c r="G383">
        <f t="shared" si="82"/>
        <v>0.93232746926950538</v>
      </c>
      <c r="H383">
        <f t="shared" si="83"/>
        <v>-31863</v>
      </c>
      <c r="I383">
        <f t="shared" si="84"/>
        <v>-31863</v>
      </c>
      <c r="J383">
        <f t="shared" si="85"/>
        <v>-31419</v>
      </c>
      <c r="K383">
        <f t="shared" si="86"/>
        <v>1015250769</v>
      </c>
      <c r="L383">
        <f t="shared" si="87"/>
        <v>987153561</v>
      </c>
      <c r="M383">
        <f t="shared" si="88"/>
        <v>30551</v>
      </c>
      <c r="P383">
        <f t="shared" si="89"/>
        <v>3551</v>
      </c>
    </row>
    <row r="384" spans="1:16" x14ac:dyDescent="0.25">
      <c r="A384">
        <f t="shared" si="90"/>
        <v>378</v>
      </c>
      <c r="B384">
        <f t="shared" si="91"/>
        <v>9.450000000000007E-2</v>
      </c>
      <c r="C384">
        <f t="shared" si="78"/>
        <v>-0.98768834059514099</v>
      </c>
      <c r="D384">
        <f t="shared" si="79"/>
        <v>-0.93358042649719442</v>
      </c>
      <c r="E384">
        <f t="shared" si="80"/>
        <v>-0.98768834059514099</v>
      </c>
      <c r="F384">
        <f t="shared" si="81"/>
        <v>-0.93358042649719442</v>
      </c>
      <c r="G384">
        <f t="shared" si="82"/>
        <v>0.92208650225911792</v>
      </c>
      <c r="H384">
        <f t="shared" si="83"/>
        <v>-32365</v>
      </c>
      <c r="I384">
        <f t="shared" si="84"/>
        <v>-32365</v>
      </c>
      <c r="J384">
        <f t="shared" si="85"/>
        <v>-30592</v>
      </c>
      <c r="K384">
        <f t="shared" si="86"/>
        <v>1047493225</v>
      </c>
      <c r="L384">
        <f t="shared" si="87"/>
        <v>935870464</v>
      </c>
      <c r="M384">
        <f t="shared" si="88"/>
        <v>30215</v>
      </c>
      <c r="P384">
        <f t="shared" si="89"/>
        <v>3169</v>
      </c>
    </row>
    <row r="385" spans="1:16" x14ac:dyDescent="0.25">
      <c r="A385">
        <f t="shared" si="90"/>
        <v>379</v>
      </c>
      <c r="B385">
        <f t="shared" si="91"/>
        <v>9.475000000000007E-2</v>
      </c>
      <c r="C385">
        <f t="shared" si="78"/>
        <v>-0.99691733373312963</v>
      </c>
      <c r="D385">
        <f t="shared" si="79"/>
        <v>-0.90258528434985164</v>
      </c>
      <c r="E385">
        <f t="shared" si="80"/>
        <v>-0.99691733373312963</v>
      </c>
      <c r="F385">
        <f t="shared" si="81"/>
        <v>-0.90258528434985164</v>
      </c>
      <c r="G385">
        <f t="shared" si="82"/>
        <v>0.89980291514081279</v>
      </c>
      <c r="H385">
        <f t="shared" si="83"/>
        <v>-32667</v>
      </c>
      <c r="I385">
        <f t="shared" si="84"/>
        <v>-32667</v>
      </c>
      <c r="J385">
        <f t="shared" si="85"/>
        <v>-29576</v>
      </c>
      <c r="K385">
        <f t="shared" si="86"/>
        <v>1067132889</v>
      </c>
      <c r="L385">
        <f t="shared" si="87"/>
        <v>874739776</v>
      </c>
      <c r="M385">
        <f t="shared" si="88"/>
        <v>29484</v>
      </c>
      <c r="P385">
        <f t="shared" si="89"/>
        <v>2792</v>
      </c>
    </row>
    <row r="386" spans="1:16" x14ac:dyDescent="0.25">
      <c r="A386">
        <f t="shared" si="90"/>
        <v>380</v>
      </c>
      <c r="B386">
        <f t="shared" si="91"/>
        <v>9.500000000000007E-2</v>
      </c>
      <c r="C386">
        <f t="shared" si="78"/>
        <v>-1</v>
      </c>
      <c r="D386">
        <f t="shared" si="79"/>
        <v>-0.86602540378442794</v>
      </c>
      <c r="E386">
        <f t="shared" si="80"/>
        <v>-1</v>
      </c>
      <c r="F386">
        <f t="shared" si="81"/>
        <v>-0.86602540378442794</v>
      </c>
      <c r="G386">
        <f t="shared" si="82"/>
        <v>0.86602540378442794</v>
      </c>
      <c r="H386">
        <f t="shared" si="83"/>
        <v>-32768</v>
      </c>
      <c r="I386">
        <f t="shared" si="84"/>
        <v>-32768</v>
      </c>
      <c r="J386">
        <f t="shared" si="85"/>
        <v>-28378</v>
      </c>
      <c r="K386">
        <f t="shared" si="86"/>
        <v>1073741824</v>
      </c>
      <c r="L386">
        <f t="shared" si="87"/>
        <v>805310884</v>
      </c>
      <c r="M386">
        <f t="shared" si="88"/>
        <v>28378</v>
      </c>
      <c r="P386">
        <f t="shared" si="89"/>
        <v>2423</v>
      </c>
    </row>
    <row r="387" spans="1:16" x14ac:dyDescent="0.25">
      <c r="A387">
        <f t="shared" si="90"/>
        <v>381</v>
      </c>
      <c r="B387">
        <f t="shared" si="91"/>
        <v>9.5250000000000071E-2</v>
      </c>
      <c r="C387">
        <f t="shared" si="78"/>
        <v>-0.99691733373312619</v>
      </c>
      <c r="D387">
        <f t="shared" si="79"/>
        <v>-0.82412618862200337</v>
      </c>
      <c r="E387">
        <f t="shared" si="80"/>
        <v>-0.99691733373312619</v>
      </c>
      <c r="F387">
        <f t="shared" si="81"/>
        <v>-0.82412618862200337</v>
      </c>
      <c r="G387">
        <f t="shared" si="82"/>
        <v>0.82158568262069109</v>
      </c>
      <c r="H387">
        <f t="shared" si="83"/>
        <v>-32667</v>
      </c>
      <c r="I387">
        <f t="shared" si="84"/>
        <v>-32667</v>
      </c>
      <c r="J387">
        <f t="shared" si="85"/>
        <v>-27005</v>
      </c>
      <c r="K387">
        <f t="shared" si="86"/>
        <v>1067132889</v>
      </c>
      <c r="L387">
        <f t="shared" si="87"/>
        <v>729270025</v>
      </c>
      <c r="M387">
        <f t="shared" si="88"/>
        <v>26921</v>
      </c>
      <c r="P387">
        <f t="shared" si="89"/>
        <v>2068</v>
      </c>
    </row>
    <row r="388" spans="1:16" x14ac:dyDescent="0.25">
      <c r="A388">
        <f t="shared" si="90"/>
        <v>382</v>
      </c>
      <c r="B388">
        <f t="shared" si="91"/>
        <v>9.5500000000000071E-2</v>
      </c>
      <c r="C388">
        <f t="shared" si="78"/>
        <v>-0.98768834059513411</v>
      </c>
      <c r="D388">
        <f t="shared" si="79"/>
        <v>-0.77714596145695691</v>
      </c>
      <c r="E388">
        <f t="shared" si="80"/>
        <v>-0.98768834059513411</v>
      </c>
      <c r="F388">
        <f t="shared" si="81"/>
        <v>-0.77714596145695691</v>
      </c>
      <c r="G388">
        <f t="shared" si="82"/>
        <v>0.76757800507163187</v>
      </c>
      <c r="H388">
        <f t="shared" si="83"/>
        <v>-32365</v>
      </c>
      <c r="I388">
        <f t="shared" si="84"/>
        <v>-32365</v>
      </c>
      <c r="J388">
        <f t="shared" si="85"/>
        <v>-25466</v>
      </c>
      <c r="K388">
        <f t="shared" si="86"/>
        <v>1047493225</v>
      </c>
      <c r="L388">
        <f t="shared" si="87"/>
        <v>648517156</v>
      </c>
      <c r="M388">
        <f t="shared" si="88"/>
        <v>25152</v>
      </c>
      <c r="P388">
        <f t="shared" si="89"/>
        <v>1732</v>
      </c>
    </row>
    <row r="389" spans="1:16" x14ac:dyDescent="0.25">
      <c r="A389">
        <f t="shared" si="90"/>
        <v>383</v>
      </c>
      <c r="B389">
        <f t="shared" si="91"/>
        <v>9.5750000000000071E-2</v>
      </c>
      <c r="C389">
        <f t="shared" si="78"/>
        <v>-0.97236992039767123</v>
      </c>
      <c r="D389">
        <f t="shared" si="79"/>
        <v>-0.72537437101227209</v>
      </c>
      <c r="E389">
        <f t="shared" si="80"/>
        <v>-0.97236992039767123</v>
      </c>
      <c r="F389">
        <f t="shared" si="81"/>
        <v>-0.72537437101227209</v>
      </c>
      <c r="G389">
        <f t="shared" si="82"/>
        <v>0.7053322193997138</v>
      </c>
      <c r="H389">
        <f t="shared" si="83"/>
        <v>-31863</v>
      </c>
      <c r="I389">
        <f t="shared" si="84"/>
        <v>-31863</v>
      </c>
      <c r="J389">
        <f t="shared" si="85"/>
        <v>-23770</v>
      </c>
      <c r="K389">
        <f t="shared" si="86"/>
        <v>1015250769</v>
      </c>
      <c r="L389">
        <f t="shared" si="87"/>
        <v>565012900</v>
      </c>
      <c r="M389">
        <f t="shared" si="88"/>
        <v>23113</v>
      </c>
      <c r="P389">
        <f t="shared" si="89"/>
        <v>1417</v>
      </c>
    </row>
    <row r="390" spans="1:16" x14ac:dyDescent="0.25">
      <c r="A390">
        <f t="shared" si="90"/>
        <v>384</v>
      </c>
      <c r="B390">
        <f t="shared" si="91"/>
        <v>9.6000000000000071E-2</v>
      </c>
      <c r="C390">
        <f t="shared" si="78"/>
        <v>-0.9510565162951462</v>
      </c>
      <c r="D390">
        <f t="shared" si="79"/>
        <v>-0.66913060635884103</v>
      </c>
      <c r="E390">
        <f t="shared" si="80"/>
        <v>-0.9510565162951462</v>
      </c>
      <c r="F390">
        <f t="shared" si="81"/>
        <v>-0.66913060635884103</v>
      </c>
      <c r="G390">
        <f t="shared" si="82"/>
        <v>0.63638102343009817</v>
      </c>
      <c r="H390">
        <f t="shared" si="83"/>
        <v>-31164</v>
      </c>
      <c r="I390">
        <f t="shared" si="84"/>
        <v>-31165</v>
      </c>
      <c r="J390">
        <f t="shared" si="85"/>
        <v>-21927</v>
      </c>
      <c r="K390">
        <f t="shared" si="86"/>
        <v>971257225</v>
      </c>
      <c r="L390">
        <f t="shared" si="87"/>
        <v>480793329</v>
      </c>
      <c r="M390">
        <f t="shared" si="88"/>
        <v>20854</v>
      </c>
      <c r="P390">
        <f t="shared" si="89"/>
        <v>1128</v>
      </c>
    </row>
    <row r="391" spans="1:16" x14ac:dyDescent="0.25">
      <c r="A391">
        <f t="shared" si="90"/>
        <v>385</v>
      </c>
      <c r="B391">
        <f t="shared" si="91"/>
        <v>9.6250000000000072E-2</v>
      </c>
      <c r="C391">
        <f t="shared" ref="C391:C406" si="92">SIN(2*PI()*$C$4*B391)</f>
        <v>-0.92387953251127752</v>
      </c>
      <c r="D391">
        <f t="shared" ref="D391:D406" si="93">SIN(2*PI()*$C$4*B391+$C$3*PI()/180)</f>
        <v>-0.608761429008702</v>
      </c>
      <c r="E391">
        <f t="shared" ref="E391:E406" si="94">C391*$C$1</f>
        <v>-0.92387953251127752</v>
      </c>
      <c r="F391">
        <f t="shared" ref="F391:F406" si="95">D391*$C$2</f>
        <v>-0.608761429008702</v>
      </c>
      <c r="G391">
        <f t="shared" ref="G391:G406" si="96">E391*F391</f>
        <v>0.56242222444345691</v>
      </c>
      <c r="H391">
        <f t="shared" ref="H391:H406" si="97">IF(C391&gt;0,ROUND(C391*$F$2,0),ROUND(C391*$F$1,0))</f>
        <v>-30274</v>
      </c>
      <c r="I391">
        <f t="shared" ref="I391:I406" si="98">IF(E391&gt;0,_xlfn.FLOOR.MATH(E391*$F$2),_xlfn.FLOOR.MATH(E391*$F$1))</f>
        <v>-30274</v>
      </c>
      <c r="J391">
        <f t="shared" ref="J391:J406" si="99">IF(F391&gt;0,_xlfn.FLOOR.MATH(F391*$F$2),_xlfn.FLOOR.MATH(F391*$F$1))</f>
        <v>-19948</v>
      </c>
      <c r="K391">
        <f t="shared" ref="K391:K406" si="100">_xlfn.FLOOR.MATH(I391*I391)</f>
        <v>916515076</v>
      </c>
      <c r="L391">
        <f t="shared" ref="L391:L406" si="101">_xlfn.FLOOR.MATH(J391*J391)</f>
        <v>397922704</v>
      </c>
      <c r="M391">
        <f t="shared" ref="M391:M406" si="102">_xlfn.FLOOR.MATH((I391*J391)/$F$1)</f>
        <v>18429</v>
      </c>
      <c r="P391">
        <f t="shared" ref="P391:P406" si="103">_xlfn.FLOOR.MATH(SUM(M391:M470)/$F$3)</f>
        <v>868</v>
      </c>
    </row>
    <row r="392" spans="1:16" x14ac:dyDescent="0.25">
      <c r="A392">
        <f t="shared" ref="A392:A406" si="104">A391+1</f>
        <v>386</v>
      </c>
      <c r="B392">
        <f t="shared" ref="B392:B406" si="105">B391+(1/4000)</f>
        <v>9.6500000000000072E-2</v>
      </c>
      <c r="C392">
        <f t="shared" si="92"/>
        <v>-0.89100652418835835</v>
      </c>
      <c r="D392">
        <f t="shared" si="93"/>
        <v>-0.54463903501500999</v>
      </c>
      <c r="E392">
        <f t="shared" si="94"/>
        <v>-0.89100652418835835</v>
      </c>
      <c r="F392">
        <f t="shared" si="95"/>
        <v>-0.54463903501500999</v>
      </c>
      <c r="G392">
        <f t="shared" si="96"/>
        <v>0.48527693352602563</v>
      </c>
      <c r="H392">
        <f t="shared" si="97"/>
        <v>-29197</v>
      </c>
      <c r="I392">
        <f t="shared" si="98"/>
        <v>-29197</v>
      </c>
      <c r="J392">
        <f t="shared" si="99"/>
        <v>-17847</v>
      </c>
      <c r="K392">
        <f t="shared" si="100"/>
        <v>852464809</v>
      </c>
      <c r="L392">
        <f t="shared" si="101"/>
        <v>318515409</v>
      </c>
      <c r="M392">
        <f t="shared" si="102"/>
        <v>15902</v>
      </c>
      <c r="P392">
        <f t="shared" si="103"/>
        <v>637</v>
      </c>
    </row>
    <row r="393" spans="1:16" x14ac:dyDescent="0.25">
      <c r="A393">
        <f t="shared" si="104"/>
        <v>387</v>
      </c>
      <c r="B393">
        <f t="shared" si="105"/>
        <v>9.6750000000000072E-2</v>
      </c>
      <c r="C393">
        <f t="shared" si="92"/>
        <v>-0.85264016435408096</v>
      </c>
      <c r="D393">
        <f t="shared" si="93"/>
        <v>-0.47715876025959009</v>
      </c>
      <c r="E393">
        <f t="shared" si="94"/>
        <v>-0.85264016435408096</v>
      </c>
      <c r="F393">
        <f t="shared" si="95"/>
        <v>-0.47715876025959009</v>
      </c>
      <c r="G393">
        <f t="shared" si="96"/>
        <v>0.40684472377072639</v>
      </c>
      <c r="H393">
        <f t="shared" si="97"/>
        <v>-27939</v>
      </c>
      <c r="I393">
        <f t="shared" si="98"/>
        <v>-27940</v>
      </c>
      <c r="J393">
        <f t="shared" si="99"/>
        <v>-15636</v>
      </c>
      <c r="K393">
        <f t="shared" si="100"/>
        <v>780643600</v>
      </c>
      <c r="L393">
        <f t="shared" si="101"/>
        <v>244484496</v>
      </c>
      <c r="M393">
        <f t="shared" si="102"/>
        <v>13332</v>
      </c>
      <c r="P393">
        <f t="shared" si="103"/>
        <v>439</v>
      </c>
    </row>
    <row r="394" spans="1:16" x14ac:dyDescent="0.25">
      <c r="A394">
        <f t="shared" si="104"/>
        <v>388</v>
      </c>
      <c r="B394">
        <f t="shared" si="105"/>
        <v>9.7000000000000072E-2</v>
      </c>
      <c r="C394">
        <f t="shared" si="92"/>
        <v>-0.80901699437493457</v>
      </c>
      <c r="D394">
        <f t="shared" si="93"/>
        <v>-0.40673664307578078</v>
      </c>
      <c r="E394">
        <f t="shared" si="94"/>
        <v>-0.80901699437493457</v>
      </c>
      <c r="F394">
        <f t="shared" si="95"/>
        <v>-0.40673664307578078</v>
      </c>
      <c r="G394">
        <f t="shared" si="96"/>
        <v>0.32905685648331873</v>
      </c>
      <c r="H394">
        <f t="shared" si="97"/>
        <v>-26510</v>
      </c>
      <c r="I394">
        <f t="shared" si="98"/>
        <v>-26510</v>
      </c>
      <c r="J394">
        <f t="shared" si="99"/>
        <v>-13328</v>
      </c>
      <c r="K394">
        <f t="shared" si="100"/>
        <v>702780100</v>
      </c>
      <c r="L394">
        <f t="shared" si="101"/>
        <v>177635584</v>
      </c>
      <c r="M394">
        <f t="shared" si="102"/>
        <v>10782</v>
      </c>
      <c r="P394">
        <f t="shared" si="103"/>
        <v>272</v>
      </c>
    </row>
    <row r="395" spans="1:16" x14ac:dyDescent="0.25">
      <c r="A395">
        <f t="shared" si="104"/>
        <v>389</v>
      </c>
      <c r="B395">
        <f t="shared" si="105"/>
        <v>9.7250000000000072E-2</v>
      </c>
      <c r="C395">
        <f t="shared" si="92"/>
        <v>-0.76040596560001639</v>
      </c>
      <c r="D395">
        <f t="shared" si="93"/>
        <v>-0.33380685923375042</v>
      </c>
      <c r="E395">
        <f t="shared" si="94"/>
        <v>-0.76040596560001639</v>
      </c>
      <c r="F395">
        <f t="shared" si="95"/>
        <v>-0.33380685923375042</v>
      </c>
      <c r="G395">
        <f t="shared" si="96"/>
        <v>0.25382872711954874</v>
      </c>
      <c r="H395">
        <f t="shared" si="97"/>
        <v>-24917</v>
      </c>
      <c r="I395">
        <f t="shared" si="98"/>
        <v>-24917</v>
      </c>
      <c r="J395">
        <f t="shared" si="99"/>
        <v>-10939</v>
      </c>
      <c r="K395">
        <f t="shared" si="100"/>
        <v>620856889</v>
      </c>
      <c r="L395">
        <f t="shared" si="101"/>
        <v>119661721</v>
      </c>
      <c r="M395">
        <f t="shared" si="102"/>
        <v>8318</v>
      </c>
      <c r="P395">
        <f t="shared" si="103"/>
        <v>137</v>
      </c>
    </row>
    <row r="396" spans="1:16" x14ac:dyDescent="0.25">
      <c r="A396">
        <f t="shared" si="104"/>
        <v>390</v>
      </c>
      <c r="B396">
        <f t="shared" si="105"/>
        <v>9.7500000000000073E-2</v>
      </c>
      <c r="C396">
        <f t="shared" si="92"/>
        <v>-0.70710678118653136</v>
      </c>
      <c r="D396">
        <f t="shared" si="93"/>
        <v>-0.25881904510249937</v>
      </c>
      <c r="E396">
        <f t="shared" si="94"/>
        <v>-0.70710678118653136</v>
      </c>
      <c r="F396">
        <f t="shared" si="95"/>
        <v>-0.25881904510249937</v>
      </c>
      <c r="G396">
        <f t="shared" si="96"/>
        <v>0.18301270189220001</v>
      </c>
      <c r="H396">
        <f t="shared" si="97"/>
        <v>-23170</v>
      </c>
      <c r="I396">
        <f t="shared" si="98"/>
        <v>-23171</v>
      </c>
      <c r="J396">
        <f t="shared" si="99"/>
        <v>-8481</v>
      </c>
      <c r="K396">
        <f t="shared" si="100"/>
        <v>536895241</v>
      </c>
      <c r="L396">
        <f t="shared" si="101"/>
        <v>71927361</v>
      </c>
      <c r="M396">
        <f t="shared" si="102"/>
        <v>5997</v>
      </c>
      <c r="P396">
        <f t="shared" si="103"/>
        <v>33</v>
      </c>
    </row>
    <row r="397" spans="1:16" x14ac:dyDescent="0.25">
      <c r="A397">
        <f t="shared" si="104"/>
        <v>391</v>
      </c>
      <c r="B397">
        <f t="shared" si="105"/>
        <v>9.7750000000000073E-2</v>
      </c>
      <c r="C397">
        <f t="shared" si="92"/>
        <v>-0.64944804833016601</v>
      </c>
      <c r="D397">
        <f t="shared" si="93"/>
        <v>-0.18223552549212521</v>
      </c>
      <c r="E397">
        <f t="shared" si="94"/>
        <v>-0.64944804833016601</v>
      </c>
      <c r="F397">
        <f t="shared" si="95"/>
        <v>-0.18223552549212521</v>
      </c>
      <c r="G397">
        <f t="shared" si="96"/>
        <v>0.11835250636728294</v>
      </c>
      <c r="H397">
        <f t="shared" si="97"/>
        <v>-21281</v>
      </c>
      <c r="I397">
        <f t="shared" si="98"/>
        <v>-21282</v>
      </c>
      <c r="J397">
        <f t="shared" si="99"/>
        <v>-5972</v>
      </c>
      <c r="K397">
        <f t="shared" si="100"/>
        <v>452923524</v>
      </c>
      <c r="L397">
        <f t="shared" si="101"/>
        <v>35664784</v>
      </c>
      <c r="M397">
        <f t="shared" si="102"/>
        <v>3878</v>
      </c>
      <c r="P397">
        <f t="shared" si="103"/>
        <v>-42</v>
      </c>
    </row>
    <row r="398" spans="1:16" x14ac:dyDescent="0.25">
      <c r="A398">
        <f t="shared" si="104"/>
        <v>392</v>
      </c>
      <c r="B398">
        <f t="shared" si="105"/>
        <v>9.8000000000000073E-2</v>
      </c>
      <c r="C398">
        <f t="shared" si="92"/>
        <v>-0.58778525229245393</v>
      </c>
      <c r="D398">
        <f t="shared" si="93"/>
        <v>-0.10452846326763054</v>
      </c>
      <c r="E398">
        <f t="shared" si="94"/>
        <v>-0.58778525229245393</v>
      </c>
      <c r="F398">
        <f t="shared" si="95"/>
        <v>-0.10452846326763054</v>
      </c>
      <c r="G398">
        <f t="shared" si="96"/>
        <v>6.1440289153506723E-2</v>
      </c>
      <c r="H398">
        <f t="shared" si="97"/>
        <v>-19261</v>
      </c>
      <c r="I398">
        <f t="shared" si="98"/>
        <v>-19261</v>
      </c>
      <c r="J398">
        <f t="shared" si="99"/>
        <v>-3426</v>
      </c>
      <c r="K398">
        <f t="shared" si="100"/>
        <v>370986121</v>
      </c>
      <c r="L398">
        <f t="shared" si="101"/>
        <v>11737476</v>
      </c>
      <c r="M398">
        <f t="shared" si="102"/>
        <v>2013</v>
      </c>
      <c r="P398">
        <f t="shared" si="103"/>
        <v>-90</v>
      </c>
    </row>
    <row r="399" spans="1:16" x14ac:dyDescent="0.25">
      <c r="A399">
        <f t="shared" si="104"/>
        <v>393</v>
      </c>
      <c r="B399">
        <f t="shared" si="105"/>
        <v>9.8250000000000073E-2</v>
      </c>
      <c r="C399">
        <f t="shared" si="92"/>
        <v>-0.52249856471592826</v>
      </c>
      <c r="D399">
        <f t="shared" si="93"/>
        <v>-2.6176948307849664E-2</v>
      </c>
      <c r="E399">
        <f t="shared" si="94"/>
        <v>-0.52249856471592826</v>
      </c>
      <c r="F399">
        <f t="shared" si="95"/>
        <v>-2.6176948307849664E-2</v>
      </c>
      <c r="G399">
        <f t="shared" si="96"/>
        <v>1.3677417919494497E-2</v>
      </c>
      <c r="H399">
        <f t="shared" si="97"/>
        <v>-17121</v>
      </c>
      <c r="I399">
        <f t="shared" si="98"/>
        <v>-17122</v>
      </c>
      <c r="J399">
        <f t="shared" si="99"/>
        <v>-858</v>
      </c>
      <c r="K399">
        <f t="shared" si="100"/>
        <v>293162884</v>
      </c>
      <c r="L399">
        <f t="shared" si="101"/>
        <v>736164</v>
      </c>
      <c r="M399">
        <f t="shared" si="102"/>
        <v>448</v>
      </c>
      <c r="P399">
        <f t="shared" si="103"/>
        <v>-115</v>
      </c>
    </row>
    <row r="400" spans="1:16" x14ac:dyDescent="0.25">
      <c r="A400">
        <f t="shared" si="104"/>
        <v>394</v>
      </c>
      <c r="B400">
        <f t="shared" si="105"/>
        <v>9.8500000000000074E-2</v>
      </c>
      <c r="C400">
        <f t="shared" si="92"/>
        <v>-0.45399049973952493</v>
      </c>
      <c r="D400">
        <f t="shared" si="93"/>
        <v>5.2335956242967739E-2</v>
      </c>
      <c r="E400">
        <f t="shared" si="94"/>
        <v>-0.45399049973952493</v>
      </c>
      <c r="F400">
        <f t="shared" si="95"/>
        <v>5.2335956242967739E-2</v>
      </c>
      <c r="G400">
        <f t="shared" si="96"/>
        <v>-2.3760026929090832E-2</v>
      </c>
      <c r="H400">
        <f t="shared" si="97"/>
        <v>-14876</v>
      </c>
      <c r="I400">
        <f t="shared" si="98"/>
        <v>-14877</v>
      </c>
      <c r="J400">
        <f t="shared" si="99"/>
        <v>1714</v>
      </c>
      <c r="K400">
        <f t="shared" si="100"/>
        <v>221325129</v>
      </c>
      <c r="L400">
        <f t="shared" si="101"/>
        <v>2937796</v>
      </c>
      <c r="M400">
        <f t="shared" si="102"/>
        <v>-779</v>
      </c>
      <c r="P400">
        <f t="shared" si="103"/>
        <v>-121</v>
      </c>
    </row>
    <row r="401" spans="1:16" x14ac:dyDescent="0.25">
      <c r="A401">
        <f t="shared" si="104"/>
        <v>395</v>
      </c>
      <c r="B401">
        <f t="shared" si="105"/>
        <v>9.8750000000000074E-2</v>
      </c>
      <c r="C401">
        <f t="shared" si="92"/>
        <v>-0.38268343236506669</v>
      </c>
      <c r="D401">
        <f t="shared" si="93"/>
        <v>0.13052619222007575</v>
      </c>
      <c r="E401">
        <f t="shared" si="94"/>
        <v>-0.38268343236506669</v>
      </c>
      <c r="F401">
        <f t="shared" si="95"/>
        <v>0.13052619222007575</v>
      </c>
      <c r="G401">
        <f t="shared" si="96"/>
        <v>-4.9950211252321054E-2</v>
      </c>
      <c r="H401">
        <f t="shared" si="97"/>
        <v>-12540</v>
      </c>
      <c r="I401">
        <f t="shared" si="98"/>
        <v>-12540</v>
      </c>
      <c r="J401">
        <f t="shared" si="99"/>
        <v>4276</v>
      </c>
      <c r="K401">
        <f t="shared" si="100"/>
        <v>157251600</v>
      </c>
      <c r="L401">
        <f t="shared" si="101"/>
        <v>18284176</v>
      </c>
      <c r="M401">
        <f t="shared" si="102"/>
        <v>-1637</v>
      </c>
      <c r="P401">
        <f t="shared" si="103"/>
        <v>-111</v>
      </c>
    </row>
    <row r="402" spans="1:16" x14ac:dyDescent="0.25">
      <c r="A402">
        <f t="shared" si="104"/>
        <v>396</v>
      </c>
      <c r="B402">
        <f t="shared" si="105"/>
        <v>9.9000000000000074E-2</v>
      </c>
      <c r="C402">
        <f t="shared" si="92"/>
        <v>-0.30901699437492663</v>
      </c>
      <c r="D402">
        <f t="shared" si="93"/>
        <v>0.20791169081778013</v>
      </c>
      <c r="E402">
        <f t="shared" si="94"/>
        <v>-0.30901699437492663</v>
      </c>
      <c r="F402">
        <f t="shared" si="95"/>
        <v>0.20791169081778013</v>
      </c>
      <c r="G402">
        <f t="shared" si="96"/>
        <v>-6.4248245791919442E-2</v>
      </c>
      <c r="H402">
        <f t="shared" si="97"/>
        <v>-10126</v>
      </c>
      <c r="I402">
        <f t="shared" si="98"/>
        <v>-10126</v>
      </c>
      <c r="J402">
        <f t="shared" si="99"/>
        <v>6812</v>
      </c>
      <c r="K402">
        <f t="shared" si="100"/>
        <v>102535876</v>
      </c>
      <c r="L402">
        <f t="shared" si="101"/>
        <v>46403344</v>
      </c>
      <c r="M402">
        <f t="shared" si="102"/>
        <v>-2106</v>
      </c>
      <c r="P402">
        <f t="shared" si="103"/>
        <v>-91</v>
      </c>
    </row>
    <row r="403" spans="1:16" x14ac:dyDescent="0.25">
      <c r="A403">
        <f t="shared" si="104"/>
        <v>397</v>
      </c>
      <c r="B403">
        <f t="shared" si="105"/>
        <v>9.9250000000000074E-2</v>
      </c>
      <c r="C403">
        <f t="shared" si="92"/>
        <v>-0.23344536385588371</v>
      </c>
      <c r="D403">
        <f t="shared" si="93"/>
        <v>0.28401534470394341</v>
      </c>
      <c r="E403">
        <f t="shared" si="94"/>
        <v>-0.23344536385588371</v>
      </c>
      <c r="F403">
        <f t="shared" si="95"/>
        <v>0.28401534470394341</v>
      </c>
      <c r="G403">
        <f t="shared" si="96"/>
        <v>-6.63020654850663E-2</v>
      </c>
      <c r="H403">
        <f t="shared" si="97"/>
        <v>-7650</v>
      </c>
      <c r="I403">
        <f t="shared" si="98"/>
        <v>-7650</v>
      </c>
      <c r="J403">
        <f t="shared" si="99"/>
        <v>9306</v>
      </c>
      <c r="K403">
        <f t="shared" si="100"/>
        <v>58522500</v>
      </c>
      <c r="L403">
        <f t="shared" si="101"/>
        <v>86601636</v>
      </c>
      <c r="M403">
        <f t="shared" si="102"/>
        <v>-2173</v>
      </c>
      <c r="P403">
        <f t="shared" si="103"/>
        <v>-64</v>
      </c>
    </row>
    <row r="404" spans="1:16" x14ac:dyDescent="0.25">
      <c r="A404">
        <f t="shared" si="104"/>
        <v>398</v>
      </c>
      <c r="B404">
        <f t="shared" si="105"/>
        <v>9.9500000000000074E-2</v>
      </c>
      <c r="C404">
        <f t="shared" si="92"/>
        <v>-0.15643446504020839</v>
      </c>
      <c r="D404">
        <f t="shared" si="93"/>
        <v>0.35836794954532097</v>
      </c>
      <c r="E404">
        <f t="shared" si="94"/>
        <v>-0.15643446504020839</v>
      </c>
      <c r="F404">
        <f t="shared" si="95"/>
        <v>0.35836794954532097</v>
      </c>
      <c r="G404">
        <f t="shared" si="96"/>
        <v>-5.6061098474678675E-2</v>
      </c>
      <c r="H404">
        <f t="shared" si="97"/>
        <v>-5126</v>
      </c>
      <c r="I404">
        <f t="shared" si="98"/>
        <v>-5127</v>
      </c>
      <c r="J404">
        <f t="shared" si="99"/>
        <v>11742</v>
      </c>
      <c r="K404">
        <f t="shared" si="100"/>
        <v>26286129</v>
      </c>
      <c r="L404">
        <f t="shared" si="101"/>
        <v>137874564</v>
      </c>
      <c r="M404">
        <f t="shared" si="102"/>
        <v>-1838</v>
      </c>
      <c r="P404">
        <f t="shared" si="103"/>
        <v>-37</v>
      </c>
    </row>
    <row r="405" spans="1:16" x14ac:dyDescent="0.25">
      <c r="A405">
        <f t="shared" si="104"/>
        <v>399</v>
      </c>
      <c r="B405">
        <f t="shared" si="105"/>
        <v>9.9750000000000075E-2</v>
      </c>
      <c r="C405">
        <f t="shared" si="92"/>
        <v>-7.8459095727821809E-2</v>
      </c>
      <c r="D405">
        <f t="shared" si="93"/>
        <v>0.43051109680831551</v>
      </c>
      <c r="E405">
        <f t="shared" si="94"/>
        <v>-7.8459095727821809E-2</v>
      </c>
      <c r="F405">
        <f t="shared" si="95"/>
        <v>0.43051109680831551</v>
      </c>
      <c r="G405">
        <f t="shared" si="96"/>
        <v>-3.3777511356373191E-2</v>
      </c>
      <c r="H405">
        <f t="shared" si="97"/>
        <v>-2571</v>
      </c>
      <c r="I405">
        <f t="shared" si="98"/>
        <v>-2571</v>
      </c>
      <c r="J405">
        <f t="shared" si="99"/>
        <v>14106</v>
      </c>
      <c r="K405">
        <f t="shared" si="100"/>
        <v>6610041</v>
      </c>
      <c r="L405">
        <f t="shared" si="101"/>
        <v>198979236</v>
      </c>
      <c r="M405">
        <f t="shared" si="102"/>
        <v>-1107</v>
      </c>
      <c r="P405">
        <f t="shared" si="103"/>
        <v>-14</v>
      </c>
    </row>
    <row r="406" spans="1:16" x14ac:dyDescent="0.25">
      <c r="A406">
        <f t="shared" si="104"/>
        <v>400</v>
      </c>
      <c r="B406">
        <f t="shared" si="105"/>
        <v>0.10000000000000007</v>
      </c>
      <c r="C406">
        <f t="shared" si="92"/>
        <v>2.3643847296694886E-14</v>
      </c>
      <c r="D406">
        <f t="shared" si="93"/>
        <v>0.50000000000001998</v>
      </c>
      <c r="E406">
        <f t="shared" si="94"/>
        <v>2.3643847296694886E-14</v>
      </c>
      <c r="F406">
        <f t="shared" si="95"/>
        <v>0.50000000000001998</v>
      </c>
      <c r="G406">
        <f t="shared" si="96"/>
        <v>1.1821923648347915E-14</v>
      </c>
      <c r="H406">
        <f t="shared" si="97"/>
        <v>0</v>
      </c>
      <c r="I406">
        <f t="shared" si="98"/>
        <v>0</v>
      </c>
      <c r="J406">
        <f t="shared" si="99"/>
        <v>16383</v>
      </c>
      <c r="K406">
        <f t="shared" si="100"/>
        <v>0</v>
      </c>
      <c r="L406">
        <f t="shared" si="101"/>
        <v>268402689</v>
      </c>
      <c r="M406">
        <f t="shared" si="102"/>
        <v>0</v>
      </c>
      <c r="P406">
        <f t="shared" si="103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754C-7378-4D0C-B996-F124DC3532DF}">
  <dimension ref="B2:E1001"/>
  <sheetViews>
    <sheetView workbookViewId="0">
      <selection activeCell="H6" sqref="H6"/>
    </sheetView>
  </sheetViews>
  <sheetFormatPr defaultRowHeight="15" x14ac:dyDescent="0.25"/>
  <sheetData>
    <row r="2" spans="2:5" x14ac:dyDescent="0.25">
      <c r="C2" s="1"/>
      <c r="D2" s="1"/>
    </row>
    <row r="3" spans="2:5" x14ac:dyDescent="0.25">
      <c r="B3" s="1"/>
      <c r="C3" s="1"/>
      <c r="D3" s="1"/>
      <c r="E3" s="1"/>
    </row>
    <row r="4" spans="2:5" x14ac:dyDescent="0.25">
      <c r="B4" s="1"/>
      <c r="C4" s="1"/>
      <c r="D4" s="1"/>
      <c r="E4" s="1"/>
    </row>
    <row r="5" spans="2:5" x14ac:dyDescent="0.25">
      <c r="B5" s="1"/>
      <c r="C5" s="1"/>
      <c r="D5" s="1"/>
      <c r="E5" s="1"/>
    </row>
    <row r="6" spans="2:5" x14ac:dyDescent="0.25">
      <c r="B6" s="1"/>
      <c r="C6" s="1"/>
      <c r="D6" s="1"/>
      <c r="E6" s="1"/>
    </row>
    <row r="7" spans="2:5" x14ac:dyDescent="0.25">
      <c r="B7" s="1"/>
      <c r="C7" s="1"/>
      <c r="D7" s="1"/>
      <c r="E7" s="1"/>
    </row>
    <row r="8" spans="2:5" x14ac:dyDescent="0.25">
      <c r="B8" s="1"/>
      <c r="C8" s="1"/>
      <c r="D8" s="1"/>
      <c r="E8" s="1"/>
    </row>
    <row r="9" spans="2:5" x14ac:dyDescent="0.25">
      <c r="B9" s="1"/>
      <c r="C9" s="1"/>
      <c r="D9" s="1"/>
      <c r="E9" s="1"/>
    </row>
    <row r="10" spans="2:5" x14ac:dyDescent="0.25">
      <c r="B10" s="1"/>
      <c r="C10" s="1"/>
      <c r="D10" s="1"/>
      <c r="E10" s="1"/>
    </row>
    <row r="11" spans="2:5" x14ac:dyDescent="0.25">
      <c r="B11" s="1"/>
      <c r="C11" s="1"/>
      <c r="D11" s="1"/>
      <c r="E11" s="1"/>
    </row>
    <row r="12" spans="2:5" x14ac:dyDescent="0.25">
      <c r="B12" s="1"/>
      <c r="C12" s="1"/>
      <c r="D12" s="1"/>
      <c r="E12" s="1"/>
    </row>
    <row r="13" spans="2:5" x14ac:dyDescent="0.25">
      <c r="B13" s="1"/>
      <c r="C13" s="1"/>
      <c r="D13" s="1"/>
      <c r="E13" s="1"/>
    </row>
    <row r="14" spans="2:5" x14ac:dyDescent="0.25">
      <c r="B14" s="1"/>
      <c r="C14" s="1"/>
      <c r="D14" s="1"/>
      <c r="E14" s="1"/>
    </row>
    <row r="15" spans="2:5" x14ac:dyDescent="0.25">
      <c r="B15" s="1"/>
      <c r="C15" s="1"/>
      <c r="D15" s="1"/>
      <c r="E15" s="1"/>
    </row>
    <row r="16" spans="2:5" x14ac:dyDescent="0.25">
      <c r="B16" s="1"/>
      <c r="C16" s="1"/>
      <c r="D16" s="1"/>
      <c r="E16" s="1"/>
    </row>
    <row r="17" spans="2:5" x14ac:dyDescent="0.25">
      <c r="B17" s="1"/>
      <c r="C17" s="1"/>
      <c r="D17" s="1"/>
      <c r="E17" s="1"/>
    </row>
    <row r="18" spans="2:5" x14ac:dyDescent="0.25">
      <c r="B18" s="1"/>
      <c r="C18" s="1"/>
      <c r="D18" s="1"/>
      <c r="E18" s="1"/>
    </row>
    <row r="19" spans="2:5" x14ac:dyDescent="0.25">
      <c r="B19" s="1"/>
      <c r="C19" s="1"/>
      <c r="D19" s="1"/>
      <c r="E19" s="1"/>
    </row>
    <row r="20" spans="2:5" x14ac:dyDescent="0.25">
      <c r="B20" s="1"/>
      <c r="C20" s="1"/>
      <c r="D20" s="1"/>
      <c r="E20" s="1"/>
    </row>
    <row r="21" spans="2:5" x14ac:dyDescent="0.25">
      <c r="B21" s="1"/>
      <c r="C21" s="1"/>
      <c r="D21" s="1"/>
      <c r="E21" s="1"/>
    </row>
    <row r="22" spans="2:5" x14ac:dyDescent="0.25">
      <c r="B22" s="1"/>
      <c r="C22" s="1"/>
      <c r="D22" s="1"/>
      <c r="E22" s="1"/>
    </row>
    <row r="23" spans="2:5" x14ac:dyDescent="0.25">
      <c r="B23" s="1"/>
      <c r="C23" s="1"/>
      <c r="D23" s="1"/>
      <c r="E23" s="1"/>
    </row>
    <row r="24" spans="2:5" x14ac:dyDescent="0.25">
      <c r="B24" s="1"/>
      <c r="C24" s="1"/>
      <c r="D24" s="1"/>
      <c r="E24" s="1"/>
    </row>
    <row r="25" spans="2:5" x14ac:dyDescent="0.25">
      <c r="B25" s="1"/>
      <c r="C25" s="1"/>
      <c r="D25" s="1"/>
      <c r="E25" s="1"/>
    </row>
    <row r="26" spans="2:5" x14ac:dyDescent="0.25">
      <c r="B26" s="1"/>
      <c r="C26" s="1"/>
      <c r="D26" s="1"/>
      <c r="E26" s="1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  <row r="39" spans="2:5" x14ac:dyDescent="0.25">
      <c r="B39" s="1"/>
      <c r="C39" s="1"/>
      <c r="D39" s="1"/>
      <c r="E39" s="1"/>
    </row>
    <row r="40" spans="2:5" x14ac:dyDescent="0.25">
      <c r="B40" s="1"/>
      <c r="C40" s="1"/>
      <c r="D40" s="1"/>
      <c r="E40" s="1"/>
    </row>
    <row r="41" spans="2:5" x14ac:dyDescent="0.25">
      <c r="B41" s="1"/>
      <c r="C41" s="1"/>
      <c r="D41" s="1"/>
      <c r="E41" s="1"/>
    </row>
    <row r="42" spans="2:5" x14ac:dyDescent="0.25">
      <c r="B42" s="1"/>
      <c r="C42" s="1"/>
      <c r="D42" s="1"/>
      <c r="E42" s="1"/>
    </row>
    <row r="43" spans="2:5" x14ac:dyDescent="0.25">
      <c r="B43" s="1"/>
      <c r="C43" s="1"/>
      <c r="D43" s="1"/>
      <c r="E43" s="1"/>
    </row>
    <row r="44" spans="2:5" x14ac:dyDescent="0.25">
      <c r="B44" s="1"/>
      <c r="C44" s="1"/>
      <c r="D44" s="1"/>
      <c r="E44" s="1"/>
    </row>
    <row r="45" spans="2:5" x14ac:dyDescent="0.25">
      <c r="B45" s="1"/>
      <c r="C45" s="1"/>
      <c r="D45" s="1"/>
      <c r="E45" s="1"/>
    </row>
    <row r="46" spans="2:5" x14ac:dyDescent="0.25">
      <c r="B46" s="1"/>
      <c r="C46" s="1"/>
      <c r="D46" s="1"/>
      <c r="E46" s="1"/>
    </row>
    <row r="47" spans="2:5" x14ac:dyDescent="0.25">
      <c r="B47" s="1"/>
      <c r="C47" s="1"/>
      <c r="D47" s="1"/>
      <c r="E47" s="1"/>
    </row>
    <row r="48" spans="2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  <row r="51" spans="2:5" x14ac:dyDescent="0.25">
      <c r="B51" s="1"/>
      <c r="C51" s="1"/>
      <c r="D51" s="1"/>
      <c r="E51" s="1"/>
    </row>
    <row r="52" spans="2:5" x14ac:dyDescent="0.25">
      <c r="B52" s="1"/>
      <c r="C52" s="1"/>
      <c r="D52" s="1"/>
      <c r="E52" s="1"/>
    </row>
    <row r="53" spans="2:5" x14ac:dyDescent="0.25">
      <c r="B53" s="1"/>
      <c r="C53" s="1"/>
      <c r="D53" s="1"/>
      <c r="E53" s="1"/>
    </row>
    <row r="54" spans="2:5" x14ac:dyDescent="0.25">
      <c r="B54" s="1"/>
      <c r="C54" s="1"/>
      <c r="D54" s="1"/>
      <c r="E54" s="1"/>
    </row>
    <row r="55" spans="2:5" x14ac:dyDescent="0.25">
      <c r="B55" s="1"/>
      <c r="C55" s="1"/>
      <c r="D55" s="1"/>
      <c r="E55" s="1"/>
    </row>
    <row r="56" spans="2:5" x14ac:dyDescent="0.25">
      <c r="B56" s="1"/>
      <c r="C56" s="1"/>
      <c r="D56" s="1"/>
      <c r="E56" s="1"/>
    </row>
    <row r="57" spans="2:5" x14ac:dyDescent="0.25">
      <c r="B57" s="1"/>
      <c r="C57" s="1"/>
      <c r="D57" s="1"/>
      <c r="E57" s="1"/>
    </row>
    <row r="58" spans="2:5" x14ac:dyDescent="0.25">
      <c r="B58" s="1"/>
      <c r="C58" s="1"/>
      <c r="D58" s="1"/>
      <c r="E58" s="1"/>
    </row>
    <row r="59" spans="2:5" x14ac:dyDescent="0.25">
      <c r="B59" s="1"/>
      <c r="C59" s="1"/>
      <c r="D59" s="1"/>
      <c r="E59" s="1"/>
    </row>
    <row r="60" spans="2:5" x14ac:dyDescent="0.25">
      <c r="B60" s="1"/>
      <c r="C60" s="1"/>
      <c r="D60" s="1"/>
      <c r="E60" s="1"/>
    </row>
    <row r="61" spans="2:5" x14ac:dyDescent="0.25">
      <c r="B61" s="1"/>
      <c r="C61" s="1"/>
      <c r="D61" s="1"/>
      <c r="E61" s="1"/>
    </row>
    <row r="62" spans="2:5" x14ac:dyDescent="0.25">
      <c r="B62" s="1"/>
      <c r="C62" s="1"/>
      <c r="D62" s="1"/>
      <c r="E62" s="1"/>
    </row>
    <row r="63" spans="2:5" x14ac:dyDescent="0.25">
      <c r="B63" s="1"/>
      <c r="C63" s="1"/>
      <c r="D63" s="1"/>
      <c r="E63" s="1"/>
    </row>
    <row r="64" spans="2:5" x14ac:dyDescent="0.25">
      <c r="B64" s="1"/>
      <c r="C64" s="1"/>
      <c r="D64" s="1"/>
      <c r="E64" s="1"/>
    </row>
    <row r="65" spans="2:5" x14ac:dyDescent="0.25">
      <c r="B65" s="1"/>
      <c r="C65" s="1"/>
      <c r="D65" s="1"/>
      <c r="E65" s="1"/>
    </row>
    <row r="66" spans="2:5" x14ac:dyDescent="0.25">
      <c r="B66" s="1"/>
      <c r="C66" s="1"/>
      <c r="D66" s="1"/>
      <c r="E66" s="1"/>
    </row>
    <row r="67" spans="2:5" x14ac:dyDescent="0.25">
      <c r="B67" s="1"/>
      <c r="C67" s="1"/>
      <c r="D67" s="1"/>
      <c r="E67" s="1"/>
    </row>
    <row r="68" spans="2:5" x14ac:dyDescent="0.25">
      <c r="B68" s="1"/>
      <c r="C68" s="1"/>
      <c r="D68" s="1"/>
      <c r="E68" s="1"/>
    </row>
    <row r="69" spans="2:5" x14ac:dyDescent="0.25">
      <c r="B69" s="1"/>
      <c r="C69" s="1"/>
      <c r="D69" s="1"/>
      <c r="E69" s="1"/>
    </row>
    <row r="70" spans="2:5" x14ac:dyDescent="0.25">
      <c r="B70" s="1"/>
      <c r="C70" s="1"/>
      <c r="D70" s="1"/>
      <c r="E70" s="1"/>
    </row>
    <row r="71" spans="2:5" x14ac:dyDescent="0.25">
      <c r="B71" s="1"/>
      <c r="C71" s="1"/>
      <c r="D71" s="1"/>
      <c r="E71" s="1"/>
    </row>
    <row r="72" spans="2:5" x14ac:dyDescent="0.25">
      <c r="B72" s="1"/>
      <c r="C72" s="1"/>
      <c r="D72" s="1"/>
      <c r="E72" s="1"/>
    </row>
    <row r="73" spans="2:5" x14ac:dyDescent="0.25">
      <c r="B73" s="1"/>
      <c r="C73" s="1"/>
      <c r="D73" s="1"/>
      <c r="E73" s="1"/>
    </row>
    <row r="74" spans="2:5" x14ac:dyDescent="0.25">
      <c r="B74" s="1"/>
      <c r="C74" s="1"/>
      <c r="D74" s="1"/>
      <c r="E74" s="1"/>
    </row>
    <row r="75" spans="2:5" x14ac:dyDescent="0.25">
      <c r="B75" s="1"/>
      <c r="C75" s="1"/>
      <c r="D75" s="1"/>
      <c r="E75" s="1"/>
    </row>
    <row r="76" spans="2:5" x14ac:dyDescent="0.25">
      <c r="B76" s="1"/>
      <c r="C76" s="1"/>
      <c r="D76" s="1"/>
      <c r="E76" s="1"/>
    </row>
    <row r="77" spans="2:5" x14ac:dyDescent="0.25">
      <c r="B77" s="1"/>
      <c r="C77" s="1"/>
      <c r="D77" s="1"/>
      <c r="E77" s="1"/>
    </row>
    <row r="78" spans="2:5" x14ac:dyDescent="0.25">
      <c r="B78" s="1"/>
      <c r="C78" s="1"/>
      <c r="D78" s="1"/>
      <c r="E78" s="1"/>
    </row>
    <row r="79" spans="2:5" x14ac:dyDescent="0.25">
      <c r="B79" s="1"/>
      <c r="C79" s="1"/>
      <c r="D79" s="1"/>
      <c r="E79" s="1"/>
    </row>
    <row r="80" spans="2:5" x14ac:dyDescent="0.25">
      <c r="B80" s="1"/>
      <c r="C80" s="1"/>
      <c r="D80" s="1"/>
      <c r="E80" s="1"/>
    </row>
    <row r="81" spans="2:5" x14ac:dyDescent="0.25">
      <c r="B81" s="1"/>
      <c r="C81" s="1"/>
      <c r="D81" s="1"/>
      <c r="E81" s="1"/>
    </row>
    <row r="82" spans="2:5" x14ac:dyDescent="0.25">
      <c r="B82" s="1"/>
      <c r="C82" s="1"/>
      <c r="D82" s="1"/>
      <c r="E82" s="1"/>
    </row>
    <row r="83" spans="2:5" x14ac:dyDescent="0.25">
      <c r="B83" s="1"/>
      <c r="C83" s="1"/>
      <c r="D83" s="1"/>
      <c r="E83" s="1"/>
    </row>
    <row r="84" spans="2:5" x14ac:dyDescent="0.25">
      <c r="B84" s="1"/>
      <c r="C84" s="1"/>
      <c r="D84" s="1"/>
      <c r="E84" s="1"/>
    </row>
    <row r="85" spans="2:5" x14ac:dyDescent="0.25">
      <c r="B85" s="1"/>
      <c r="C85" s="1"/>
      <c r="D85" s="1"/>
      <c r="E85" s="1"/>
    </row>
    <row r="86" spans="2:5" x14ac:dyDescent="0.25">
      <c r="B86" s="1"/>
      <c r="C86" s="1"/>
      <c r="D86" s="1"/>
      <c r="E86" s="1"/>
    </row>
    <row r="87" spans="2:5" x14ac:dyDescent="0.25">
      <c r="B87" s="1"/>
      <c r="C87" s="1"/>
      <c r="D87" s="1"/>
      <c r="E87" s="1"/>
    </row>
    <row r="88" spans="2:5" x14ac:dyDescent="0.25">
      <c r="B88" s="1"/>
      <c r="C88" s="1"/>
      <c r="D88" s="1"/>
      <c r="E88" s="1"/>
    </row>
    <row r="89" spans="2:5" x14ac:dyDescent="0.25">
      <c r="B89" s="1"/>
      <c r="C89" s="1"/>
      <c r="D89" s="1"/>
      <c r="E89" s="1"/>
    </row>
    <row r="90" spans="2:5" x14ac:dyDescent="0.25">
      <c r="B90" s="1"/>
      <c r="C90" s="1"/>
      <c r="D90" s="1"/>
      <c r="E90" s="1"/>
    </row>
    <row r="91" spans="2:5" x14ac:dyDescent="0.25">
      <c r="B91" s="1"/>
      <c r="C91" s="1"/>
      <c r="D91" s="1"/>
      <c r="E91" s="1"/>
    </row>
    <row r="92" spans="2:5" x14ac:dyDescent="0.25">
      <c r="B92" s="1"/>
      <c r="C92" s="1"/>
      <c r="D92" s="1"/>
      <c r="E92" s="1"/>
    </row>
    <row r="93" spans="2:5" x14ac:dyDescent="0.25">
      <c r="B93" s="1"/>
      <c r="C93" s="1"/>
      <c r="D93" s="1"/>
      <c r="E93" s="1"/>
    </row>
    <row r="94" spans="2:5" x14ac:dyDescent="0.25">
      <c r="B94" s="1"/>
      <c r="C94" s="1"/>
      <c r="D94" s="1"/>
      <c r="E94" s="1"/>
    </row>
    <row r="95" spans="2:5" x14ac:dyDescent="0.25">
      <c r="B95" s="1"/>
      <c r="C95" s="1"/>
      <c r="D95" s="1"/>
      <c r="E95" s="1"/>
    </row>
    <row r="96" spans="2:5" x14ac:dyDescent="0.25">
      <c r="B96" s="1"/>
      <c r="C96" s="1"/>
      <c r="D96" s="1"/>
      <c r="E96" s="1"/>
    </row>
    <row r="97" spans="2:5" x14ac:dyDescent="0.25">
      <c r="B97" s="1"/>
      <c r="C97" s="1"/>
      <c r="D97" s="1"/>
      <c r="E97" s="1"/>
    </row>
    <row r="98" spans="2:5" x14ac:dyDescent="0.25">
      <c r="B98" s="1"/>
      <c r="C98" s="1"/>
      <c r="D98" s="1"/>
      <c r="E98" s="1"/>
    </row>
    <row r="99" spans="2:5" x14ac:dyDescent="0.25">
      <c r="B99" s="1"/>
      <c r="C99" s="1"/>
      <c r="D99" s="1"/>
      <c r="E99" s="1"/>
    </row>
    <row r="100" spans="2:5" x14ac:dyDescent="0.25">
      <c r="B100" s="1"/>
      <c r="C100" s="1"/>
      <c r="D100" s="1"/>
      <c r="E100" s="1"/>
    </row>
    <row r="101" spans="2:5" x14ac:dyDescent="0.25">
      <c r="B101" s="1"/>
      <c r="C101" s="1"/>
      <c r="D101" s="1"/>
      <c r="E101" s="1"/>
    </row>
    <row r="102" spans="2:5" x14ac:dyDescent="0.25">
      <c r="B102" s="1"/>
      <c r="C102" s="1"/>
      <c r="D102" s="1"/>
      <c r="E102" s="1"/>
    </row>
    <row r="103" spans="2:5" x14ac:dyDescent="0.25">
      <c r="B103" s="1"/>
      <c r="C103" s="1"/>
      <c r="D103" s="1"/>
    </row>
    <row r="104" spans="2:5" x14ac:dyDescent="0.25">
      <c r="B104" s="1"/>
      <c r="C104" s="1"/>
      <c r="D104" s="1"/>
    </row>
    <row r="105" spans="2:5" x14ac:dyDescent="0.25">
      <c r="B105" s="1"/>
      <c r="C105" s="1"/>
      <c r="D105" s="1"/>
    </row>
    <row r="106" spans="2:5" x14ac:dyDescent="0.25">
      <c r="B106" s="1"/>
      <c r="C106" s="1"/>
      <c r="D106" s="1"/>
    </row>
    <row r="107" spans="2:5" x14ac:dyDescent="0.25">
      <c r="B107" s="1"/>
      <c r="C107" s="1"/>
      <c r="D107" s="1"/>
    </row>
    <row r="108" spans="2:5" x14ac:dyDescent="0.25">
      <c r="B108" s="1"/>
      <c r="C108" s="1"/>
      <c r="D108" s="1"/>
    </row>
    <row r="109" spans="2:5" x14ac:dyDescent="0.25">
      <c r="B109" s="1"/>
      <c r="C109" s="1"/>
      <c r="D109" s="1"/>
    </row>
    <row r="110" spans="2:5" x14ac:dyDescent="0.25">
      <c r="B110" s="1"/>
      <c r="C110" s="1"/>
      <c r="D110" s="1"/>
    </row>
    <row r="111" spans="2:5" x14ac:dyDescent="0.25">
      <c r="B111" s="1"/>
      <c r="C111" s="1"/>
      <c r="D111" s="1"/>
    </row>
    <row r="112" spans="2:5" x14ac:dyDescent="0.25">
      <c r="B112" s="1"/>
      <c r="C112" s="1"/>
      <c r="D112" s="1"/>
    </row>
    <row r="113" spans="2:4" x14ac:dyDescent="0.25">
      <c r="B113" s="1"/>
      <c r="C113" s="1"/>
      <c r="D113" s="1"/>
    </row>
    <row r="114" spans="2:4" x14ac:dyDescent="0.25">
      <c r="B114" s="1"/>
      <c r="C114" s="1"/>
      <c r="D114" s="1"/>
    </row>
    <row r="115" spans="2:4" x14ac:dyDescent="0.25">
      <c r="B115" s="1"/>
      <c r="C115" s="1"/>
      <c r="D115" s="1"/>
    </row>
    <row r="116" spans="2:4" x14ac:dyDescent="0.25">
      <c r="B116" s="1"/>
      <c r="C116" s="1"/>
      <c r="D116" s="1"/>
    </row>
    <row r="117" spans="2:4" x14ac:dyDescent="0.25">
      <c r="B117" s="1"/>
      <c r="C117" s="1"/>
      <c r="D117" s="1"/>
    </row>
    <row r="118" spans="2:4" x14ac:dyDescent="0.25">
      <c r="B118" s="1"/>
      <c r="C118" s="1"/>
      <c r="D118" s="1"/>
    </row>
    <row r="119" spans="2:4" x14ac:dyDescent="0.25">
      <c r="B119" s="1"/>
      <c r="C119" s="1"/>
      <c r="D119" s="1"/>
    </row>
    <row r="120" spans="2:4" x14ac:dyDescent="0.25">
      <c r="B120" s="1"/>
      <c r="C120" s="1"/>
      <c r="D120" s="1"/>
    </row>
    <row r="121" spans="2:4" x14ac:dyDescent="0.25">
      <c r="B121" s="1"/>
      <c r="C121" s="1"/>
      <c r="D121" s="1"/>
    </row>
    <row r="122" spans="2:4" x14ac:dyDescent="0.25">
      <c r="B122" s="1"/>
      <c r="C122" s="1"/>
      <c r="D122" s="1"/>
    </row>
    <row r="123" spans="2:4" x14ac:dyDescent="0.25">
      <c r="B123" s="1"/>
      <c r="C123" s="1"/>
      <c r="D123" s="1"/>
    </row>
    <row r="124" spans="2:4" x14ac:dyDescent="0.25">
      <c r="B124" s="1"/>
      <c r="C124" s="1"/>
      <c r="D124" s="1"/>
    </row>
    <row r="125" spans="2:4" x14ac:dyDescent="0.25">
      <c r="B125" s="1"/>
      <c r="C125" s="1"/>
      <c r="D125" s="1"/>
    </row>
    <row r="126" spans="2:4" x14ac:dyDescent="0.25">
      <c r="B126" s="1"/>
      <c r="C126" s="1"/>
      <c r="D126" s="1"/>
    </row>
    <row r="127" spans="2:4" x14ac:dyDescent="0.25">
      <c r="B127" s="1"/>
      <c r="C127" s="1"/>
      <c r="D127" s="1"/>
    </row>
    <row r="128" spans="2:4" x14ac:dyDescent="0.25">
      <c r="B128" s="1"/>
      <c r="C128" s="1"/>
      <c r="D128" s="1"/>
    </row>
    <row r="129" spans="2:4" x14ac:dyDescent="0.25">
      <c r="B129" s="1"/>
      <c r="C129" s="1"/>
      <c r="D129" s="1"/>
    </row>
    <row r="130" spans="2:4" x14ac:dyDescent="0.25">
      <c r="B130" s="1"/>
      <c r="C130" s="1"/>
      <c r="D130" s="1"/>
    </row>
    <row r="131" spans="2:4" x14ac:dyDescent="0.25">
      <c r="B131" s="1"/>
      <c r="C131" s="1"/>
      <c r="D131" s="1"/>
    </row>
    <row r="132" spans="2:4" x14ac:dyDescent="0.25">
      <c r="B132" s="1"/>
      <c r="C132" s="1"/>
      <c r="D132" s="1"/>
    </row>
    <row r="133" spans="2:4" x14ac:dyDescent="0.25">
      <c r="B133" s="1"/>
      <c r="C133" s="1"/>
      <c r="D133" s="1"/>
    </row>
    <row r="134" spans="2:4" x14ac:dyDescent="0.25">
      <c r="B134" s="1"/>
      <c r="C134" s="1"/>
      <c r="D134" s="1"/>
    </row>
    <row r="135" spans="2:4" x14ac:dyDescent="0.25">
      <c r="B135" s="1"/>
      <c r="C135" s="1"/>
      <c r="D135" s="1"/>
    </row>
    <row r="136" spans="2:4" x14ac:dyDescent="0.25">
      <c r="B136" s="1"/>
      <c r="C136" s="1"/>
      <c r="D136" s="1"/>
    </row>
    <row r="137" spans="2:4" x14ac:dyDescent="0.25">
      <c r="B137" s="1"/>
      <c r="C137" s="1"/>
      <c r="D137" s="1"/>
    </row>
    <row r="138" spans="2:4" x14ac:dyDescent="0.25">
      <c r="B138" s="1"/>
      <c r="C138" s="1"/>
      <c r="D138" s="1"/>
    </row>
    <row r="139" spans="2:4" x14ac:dyDescent="0.25">
      <c r="B139" s="1"/>
      <c r="C139" s="1"/>
      <c r="D139" s="1"/>
    </row>
    <row r="140" spans="2:4" x14ac:dyDescent="0.25">
      <c r="B140" s="1"/>
      <c r="C140" s="1"/>
      <c r="D140" s="1"/>
    </row>
    <row r="141" spans="2:4" x14ac:dyDescent="0.25">
      <c r="B141" s="1"/>
      <c r="C141" s="1"/>
      <c r="D141" s="1"/>
    </row>
    <row r="142" spans="2:4" x14ac:dyDescent="0.25">
      <c r="B142" s="1"/>
      <c r="C142" s="1"/>
      <c r="D142" s="1"/>
    </row>
    <row r="143" spans="2:4" x14ac:dyDescent="0.25">
      <c r="B143" s="1"/>
      <c r="C143" s="1"/>
      <c r="D143" s="1"/>
    </row>
    <row r="144" spans="2:4" x14ac:dyDescent="0.25">
      <c r="B144" s="1"/>
      <c r="C144" s="1"/>
      <c r="D144" s="1"/>
    </row>
    <row r="145" spans="2:4" x14ac:dyDescent="0.25">
      <c r="B145" s="1"/>
      <c r="C145" s="1"/>
      <c r="D145" s="1"/>
    </row>
    <row r="146" spans="2:4" x14ac:dyDescent="0.25">
      <c r="B146" s="1"/>
      <c r="C146" s="1"/>
      <c r="D146" s="1"/>
    </row>
    <row r="147" spans="2:4" x14ac:dyDescent="0.25">
      <c r="B147" s="1"/>
      <c r="C147" s="1"/>
      <c r="D147" s="1"/>
    </row>
    <row r="148" spans="2:4" x14ac:dyDescent="0.25">
      <c r="B148" s="1"/>
      <c r="C148" s="1"/>
      <c r="D148" s="1"/>
    </row>
    <row r="149" spans="2:4" x14ac:dyDescent="0.25">
      <c r="B149" s="1"/>
      <c r="C149" s="1"/>
      <c r="D149" s="1"/>
    </row>
    <row r="150" spans="2:4" x14ac:dyDescent="0.25">
      <c r="B150" s="1"/>
      <c r="C150" s="1"/>
      <c r="D150" s="1"/>
    </row>
    <row r="151" spans="2:4" x14ac:dyDescent="0.25">
      <c r="B151" s="1"/>
      <c r="C151" s="1"/>
      <c r="D151" s="1"/>
    </row>
    <row r="152" spans="2:4" x14ac:dyDescent="0.25">
      <c r="B152" s="1"/>
      <c r="C152" s="1"/>
      <c r="D152" s="1"/>
    </row>
    <row r="153" spans="2:4" x14ac:dyDescent="0.25">
      <c r="B153" s="1"/>
      <c r="C153" s="1"/>
      <c r="D153" s="1"/>
    </row>
    <row r="154" spans="2:4" x14ac:dyDescent="0.25">
      <c r="B154" s="1"/>
      <c r="C154" s="1"/>
      <c r="D154" s="1"/>
    </row>
    <row r="155" spans="2:4" x14ac:dyDescent="0.25">
      <c r="B155" s="1"/>
      <c r="C155" s="1"/>
      <c r="D155" s="1"/>
    </row>
    <row r="156" spans="2:4" x14ac:dyDescent="0.25">
      <c r="B156" s="1"/>
      <c r="C156" s="1"/>
      <c r="D156" s="1"/>
    </row>
    <row r="157" spans="2:4" x14ac:dyDescent="0.25">
      <c r="B157" s="1"/>
      <c r="C157" s="1"/>
      <c r="D157" s="1"/>
    </row>
    <row r="158" spans="2:4" x14ac:dyDescent="0.25">
      <c r="B158" s="1"/>
      <c r="C158" s="1"/>
      <c r="D158" s="1"/>
    </row>
    <row r="159" spans="2:4" x14ac:dyDescent="0.25">
      <c r="B159" s="1"/>
      <c r="C159" s="1"/>
      <c r="D159" s="1"/>
    </row>
    <row r="160" spans="2:4" x14ac:dyDescent="0.25">
      <c r="B160" s="1"/>
      <c r="C160" s="1"/>
      <c r="D160" s="1"/>
    </row>
    <row r="161" spans="2:4" x14ac:dyDescent="0.25">
      <c r="B161" s="1"/>
      <c r="C161" s="1"/>
      <c r="D161" s="1"/>
    </row>
    <row r="162" spans="2:4" x14ac:dyDescent="0.25">
      <c r="B162" s="1"/>
      <c r="C162" s="1"/>
    </row>
    <row r="163" spans="2:4" x14ac:dyDescent="0.25">
      <c r="B163" s="1"/>
      <c r="C163" s="1"/>
    </row>
    <row r="164" spans="2:4" x14ac:dyDescent="0.25">
      <c r="B164" s="1"/>
      <c r="C164" s="1"/>
    </row>
    <row r="165" spans="2:4" x14ac:dyDescent="0.25">
      <c r="B165" s="1"/>
      <c r="C165" s="1"/>
    </row>
    <row r="166" spans="2:4" x14ac:dyDescent="0.25">
      <c r="B166" s="1"/>
      <c r="C166" s="1"/>
    </row>
    <row r="167" spans="2:4" x14ac:dyDescent="0.25">
      <c r="B167" s="1"/>
      <c r="C167" s="1"/>
    </row>
    <row r="168" spans="2:4" x14ac:dyDescent="0.25">
      <c r="B168" s="1"/>
      <c r="C168" s="1"/>
    </row>
    <row r="169" spans="2:4" x14ac:dyDescent="0.25">
      <c r="B169" s="1"/>
      <c r="C169" s="1"/>
    </row>
    <row r="170" spans="2:4" x14ac:dyDescent="0.25">
      <c r="B170" s="1"/>
      <c r="C170" s="1"/>
    </row>
    <row r="171" spans="2:4" x14ac:dyDescent="0.25">
      <c r="B171" s="1"/>
      <c r="C171" s="1"/>
    </row>
    <row r="172" spans="2:4" x14ac:dyDescent="0.25">
      <c r="B172" s="1"/>
      <c r="C172" s="1"/>
    </row>
    <row r="173" spans="2:4" x14ac:dyDescent="0.25">
      <c r="B173" s="1"/>
      <c r="C173" s="1"/>
    </row>
    <row r="174" spans="2:4" x14ac:dyDescent="0.25">
      <c r="B174" s="1"/>
      <c r="C174" s="1"/>
    </row>
    <row r="175" spans="2:4" x14ac:dyDescent="0.25">
      <c r="B175" s="1"/>
      <c r="C175" s="1"/>
    </row>
    <row r="176" spans="2:4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  <row r="202" spans="2:3" x14ac:dyDescent="0.25">
      <c r="B202" s="1"/>
      <c r="C202" s="1"/>
    </row>
    <row r="203" spans="2:3" x14ac:dyDescent="0.25">
      <c r="C203" s="1"/>
    </row>
    <row r="204" spans="2:3" x14ac:dyDescent="0.25">
      <c r="C204" s="1"/>
    </row>
    <row r="205" spans="2:3" x14ac:dyDescent="0.25">
      <c r="C205" s="1"/>
    </row>
    <row r="206" spans="2:3" x14ac:dyDescent="0.25">
      <c r="C206" s="1"/>
    </row>
    <row r="207" spans="2:3" x14ac:dyDescent="0.25">
      <c r="C207" s="1"/>
    </row>
    <row r="208" spans="2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  <row r="1001" spans="3:3" x14ac:dyDescent="0.25">
      <c r="C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Antonio Gomez Olaya</dc:creator>
  <cp:lastModifiedBy>Felipe Antonio Gomez Olaya</cp:lastModifiedBy>
  <dcterms:created xsi:type="dcterms:W3CDTF">2025-11-28T08:52:01Z</dcterms:created>
  <dcterms:modified xsi:type="dcterms:W3CDTF">2025-11-30T21:32:45Z</dcterms:modified>
</cp:coreProperties>
</file>